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35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71.xml"/>
  <Override ContentType="application/vnd.openxmlformats-officedocument.spreadsheetml.table+xml" PartName="/xl/tables/table8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9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<sst xmlns="http://schemas.openxmlformats.org/spreadsheetml/2006/main" count="1494" uniqueCount="248">
  <si>
    <t>Date:</t>
  </si>
  <si>
    <t>25.12.2024</t>
  </si>
  <si>
    <t>Best Game:</t>
  </si>
  <si>
    <t>Game No:1</t>
  </si>
  <si>
    <t>Hori Kill</t>
  </si>
  <si>
    <t>Hori Damage</t>
  </si>
  <si>
    <t>Tami Kill</t>
  </si>
  <si>
    <t>Tami Damage</t>
  </si>
  <si>
    <t>Rank</t>
  </si>
  <si>
    <t>Hori Score</t>
  </si>
  <si>
    <t>Tami Score</t>
  </si>
  <si>
    <t>Score</t>
  </si>
  <si>
    <t>Hori Total Kills</t>
  </si>
  <si>
    <t>Tami Total Kills</t>
  </si>
  <si>
    <t>Total Games Played</t>
  </si>
  <si>
    <t>Hori Kill Avg:</t>
  </si>
  <si>
    <t>Hori Max Kill Day</t>
  </si>
  <si>
    <t>Tami Max Kill Day</t>
  </si>
  <si>
    <t>Total Wins</t>
  </si>
  <si>
    <t>Tami Kill Avg:</t>
  </si>
  <si>
    <t>Hori Max Kill Game</t>
  </si>
  <si>
    <t>Tami Max Kill Game</t>
  </si>
  <si>
    <t>Total Top 3</t>
  </si>
  <si>
    <t>Hori vs Tami:</t>
  </si>
  <si>
    <t>Hori Kill Avg</t>
  </si>
  <si>
    <t>Tami Kill Avg</t>
  </si>
  <si>
    <t>Win Rate</t>
  </si>
  <si>
    <t>Tami vs Hori:</t>
  </si>
  <si>
    <t>Hori Damage Mean/Median</t>
  </si>
  <si>
    <t>Tami Damage Mean/Median</t>
  </si>
  <si>
    <t>Top3 Rate</t>
  </si>
  <si>
    <t>Hori Damage Max</t>
  </si>
  <si>
    <t>Tami Damage Max</t>
  </si>
  <si>
    <t>Total</t>
  </si>
  <si>
    <t>Hori Damage Max/Kill Ratio</t>
  </si>
  <si>
    <t>Tami Damage Max/Kill Ratio</t>
  </si>
  <si>
    <t>26.12.2024</t>
  </si>
  <si>
    <t>Game No:2</t>
  </si>
  <si>
    <t>Hori Best Game Ever:</t>
  </si>
  <si>
    <t>Tami Best Game Ever:</t>
  </si>
  <si>
    <t>Best Game Ever:</t>
  </si>
  <si>
    <t>HoriHP vs TamiHP</t>
  </si>
  <si>
    <t>H: %66.8, Eq:%4.3, T: %28.9</t>
  </si>
  <si>
    <t>HoriKill vs TamiKill</t>
  </si>
  <si>
    <t>H: %40.1, Eq:%44.4, T: %15.5</t>
  </si>
  <si>
    <t>27.12.2024</t>
  </si>
  <si>
    <t>Game No:3</t>
  </si>
  <si>
    <t>Team Total Kill Best</t>
  </si>
  <si>
    <t>Team Avg Damage Best</t>
  </si>
  <si>
    <t>43, Ind: 952</t>
  </si>
  <si>
    <t>328.55, Ind: 840</t>
  </si>
  <si>
    <t>Team Avg Replacement Best</t>
  </si>
  <si>
    <t>Team Avg Score Best</t>
  </si>
  <si>
    <t>10, Ind: 952</t>
  </si>
  <si>
    <t>0.41, Ind: 952</t>
  </si>
  <si>
    <t>29.12.2024</t>
  </si>
  <si>
    <t>Game No:4</t>
  </si>
  <si>
    <t>01.01.2025</t>
  </si>
  <si>
    <t>Game No:5</t>
  </si>
  <si>
    <t>05.01.2025</t>
  </si>
  <si>
    <t>Game No:6</t>
  </si>
  <si>
    <t>08.01.2025</t>
  </si>
  <si>
    <t>Game No:7</t>
  </si>
  <si>
    <t>10.01.2025</t>
  </si>
  <si>
    <t>Game No:8</t>
  </si>
  <si>
    <t>11.01.2025</t>
  </si>
  <si>
    <t>Game No:9</t>
  </si>
  <si>
    <t>12.01.2025</t>
  </si>
  <si>
    <t>Game No:10</t>
  </si>
  <si>
    <t>13.01.2025</t>
  </si>
  <si>
    <t>Game No:11</t>
  </si>
  <si>
    <t>14.01.2025</t>
  </si>
  <si>
    <t>Game No:12</t>
  </si>
  <si>
    <t>17.01.2025</t>
  </si>
  <si>
    <t>Game No:13</t>
  </si>
  <si>
    <t>22.01.2025</t>
  </si>
  <si>
    <t>Game No:14</t>
  </si>
  <si>
    <t>24.01.2025</t>
  </si>
  <si>
    <t>Game No:15</t>
  </si>
  <si>
    <t>26.01.2025</t>
  </si>
  <si>
    <t>Game No:16</t>
  </si>
  <si>
    <t>27.01.2025</t>
  </si>
  <si>
    <t>Game No:17</t>
  </si>
  <si>
    <t>28.01.2025</t>
  </si>
  <si>
    <t>Tami serveri</t>
  </si>
  <si>
    <t>Game No:18</t>
  </si>
  <si>
    <t>05.02.2025</t>
  </si>
  <si>
    <t>Game No:19</t>
  </si>
  <si>
    <t>06.02.2025</t>
  </si>
  <si>
    <t>Game No:20</t>
  </si>
  <si>
    <t>09.02.2025</t>
  </si>
  <si>
    <t>Game No:21</t>
  </si>
  <si>
    <t>16.02.2025</t>
  </si>
  <si>
    <t>Game No:22</t>
  </si>
  <si>
    <t>17.02.2025</t>
  </si>
  <si>
    <t>Game No:23</t>
  </si>
  <si>
    <t>23.02.2025</t>
  </si>
  <si>
    <t>Game No:24</t>
  </si>
  <si>
    <t>25.02.2025</t>
  </si>
  <si>
    <t>Game No:25</t>
  </si>
  <si>
    <t>03.03.2025</t>
  </si>
  <si>
    <t>Game No:26</t>
  </si>
  <si>
    <t>06.03.2025</t>
  </si>
  <si>
    <t>Game No:27</t>
  </si>
  <si>
    <t>07.03.2025</t>
  </si>
  <si>
    <t>Game No:28</t>
  </si>
  <si>
    <t>09.03.2025</t>
  </si>
  <si>
    <t>Game No:29</t>
  </si>
  <si>
    <t>12.03.2025</t>
  </si>
  <si>
    <t>Game No:30</t>
  </si>
  <si>
    <t>03.04.2025</t>
  </si>
  <si>
    <t>Game No:31</t>
  </si>
  <si>
    <t>04.04.2025</t>
  </si>
  <si>
    <t>Game No:32</t>
  </si>
  <si>
    <t>05.04.2025</t>
  </si>
  <si>
    <t>Game No:33</t>
  </si>
  <si>
    <t>08.04.2025</t>
  </si>
  <si>
    <t>Game No:34</t>
  </si>
  <si>
    <t>14.04.2025</t>
  </si>
  <si>
    <t>Game No:35</t>
  </si>
  <si>
    <t>15.04.2025</t>
  </si>
  <si>
    <t>Game No:36</t>
  </si>
  <si>
    <t>17.04.2025</t>
  </si>
  <si>
    <t>Game No:37</t>
  </si>
  <si>
    <t>18.04.2025</t>
  </si>
  <si>
    <t>Game No:38</t>
  </si>
  <si>
    <t>19.04.2025</t>
  </si>
  <si>
    <t>Game No:39</t>
  </si>
  <si>
    <t>Game No:40</t>
  </si>
  <si>
    <t>Game No:41</t>
  </si>
  <si>
    <t>01.05.2025</t>
  </si>
  <si>
    <t>Game No:42</t>
  </si>
  <si>
    <t>02.05.2025</t>
  </si>
  <si>
    <t>Game No:43</t>
  </si>
  <si>
    <t>10.05.2025</t>
  </si>
  <si>
    <t>Game No:44</t>
  </si>
  <si>
    <t>15.05.2025</t>
  </si>
  <si>
    <t>Game No:45</t>
  </si>
  <si>
    <t>17.05.2025</t>
  </si>
  <si>
    <t>Game No:46</t>
  </si>
  <si>
    <t>18.05.2025</t>
  </si>
  <si>
    <t>Game No:47</t>
  </si>
  <si>
    <t>01.06.2025</t>
  </si>
  <si>
    <t>Game No:48</t>
  </si>
  <si>
    <t>06.06.2025</t>
  </si>
  <si>
    <t>Game No:49</t>
  </si>
  <si>
    <t>12.06.2025</t>
  </si>
  <si>
    <t>Game No:50</t>
  </si>
  <si>
    <t>14.06.2025</t>
  </si>
  <si>
    <t>Game No:51</t>
  </si>
  <si>
    <t>15.06.2025</t>
  </si>
  <si>
    <t>Game No:52</t>
  </si>
  <si>
    <t>21.06.2025</t>
  </si>
  <si>
    <t>Game No:53</t>
  </si>
  <si>
    <t>22.06.2025</t>
  </si>
  <si>
    <t>Game No:54</t>
  </si>
  <si>
    <t>24.06.2025</t>
  </si>
  <si>
    <t>Game No:55</t>
  </si>
  <si>
    <t>28.06.2025</t>
  </si>
  <si>
    <t>Game No:56</t>
  </si>
  <si>
    <t>29.06.2025</t>
  </si>
  <si>
    <t>Game No:57</t>
  </si>
  <si>
    <t>Game No:58</t>
  </si>
  <si>
    <t>07.07.2025</t>
  </si>
  <si>
    <t>Game No:59</t>
  </si>
  <si>
    <t>078.07.2025</t>
  </si>
  <si>
    <t>Game No:60</t>
  </si>
  <si>
    <t>08.07.2025</t>
  </si>
  <si>
    <t>Game No:61</t>
  </si>
  <si>
    <t>12.07.2025</t>
  </si>
  <si>
    <t>Game No:62</t>
  </si>
  <si>
    <t>20.07.2025</t>
  </si>
  <si>
    <t>Game No:63</t>
  </si>
  <si>
    <t>Game No:64</t>
  </si>
  <si>
    <t>24.07.2025</t>
  </si>
  <si>
    <t>Game No:65</t>
  </si>
  <si>
    <t>25.07.2025</t>
  </si>
  <si>
    <t>Game No:66</t>
  </si>
  <si>
    <t>26.07.2025</t>
  </si>
  <si>
    <t>Game No:67</t>
  </si>
  <si>
    <t>27.07.2025</t>
  </si>
  <si>
    <t>Game No:68</t>
  </si>
  <si>
    <t>Game No:69</t>
  </si>
  <si>
    <t>02.08.2025</t>
  </si>
  <si>
    <t>Game No:70</t>
  </si>
  <si>
    <t>03.08.2025</t>
  </si>
  <si>
    <t>Game No:71</t>
  </si>
  <si>
    <t>04.09.2025</t>
  </si>
  <si>
    <t>Game No:72</t>
  </si>
  <si>
    <t>05.09.2025</t>
  </si>
  <si>
    <t>Game No:73</t>
  </si>
  <si>
    <t>20.09.2025</t>
  </si>
  <si>
    <t>Game No:74</t>
  </si>
  <si>
    <t>21.09.2025</t>
  </si>
  <si>
    <t>Game No:75</t>
  </si>
  <si>
    <t>Game No:76</t>
  </si>
  <si>
    <t>24.09.2025</t>
  </si>
  <si>
    <t>Game No:77</t>
  </si>
  <si>
    <t>27.09.2025</t>
  </si>
  <si>
    <t>Game No:78</t>
  </si>
  <si>
    <t>28.09.2025</t>
  </si>
  <si>
    <t>Game No:79</t>
  </si>
  <si>
    <t>03.10.2025</t>
  </si>
  <si>
    <t>Game No:80</t>
  </si>
  <si>
    <t>05.10.2025</t>
  </si>
  <si>
    <t>Game No:81</t>
  </si>
  <si>
    <t>07.10.2025</t>
  </si>
  <si>
    <t>Game No:82</t>
  </si>
  <si>
    <t>08.10.2025</t>
  </si>
  <si>
    <t>Game No:83</t>
  </si>
  <si>
    <t>10.10.2025</t>
  </si>
  <si>
    <t>Game No:84</t>
  </si>
  <si>
    <t>12.10.2025</t>
  </si>
  <si>
    <t>Game No:85</t>
  </si>
  <si>
    <t>28.10.2025</t>
  </si>
  <si>
    <t>Game No:86</t>
  </si>
  <si>
    <t>29.10.2025</t>
  </si>
  <si>
    <t>Game No:87</t>
  </si>
  <si>
    <t>Game No:88</t>
  </si>
  <si>
    <t>30.11.2025</t>
  </si>
  <si>
    <t>Game No:89</t>
  </si>
  <si>
    <t>Game No:90</t>
  </si>
  <si>
    <t>16.01.2026</t>
  </si>
  <si>
    <t>Game No:91</t>
  </si>
  <si>
    <t>17.01.2026</t>
  </si>
  <si>
    <t>Game No:92</t>
  </si>
  <si>
    <t>23.01.2026</t>
  </si>
  <si>
    <t>Game No:93</t>
  </si>
  <si>
    <t>26.01.2026</t>
  </si>
  <si>
    <t>Game No:94</t>
  </si>
  <si>
    <t>27.01.2026</t>
  </si>
  <si>
    <t>Game No:95</t>
  </si>
  <si>
    <t>26.02.2026</t>
  </si>
  <si>
    <t>Game No:96</t>
  </si>
  <si>
    <t>27.02.2026</t>
  </si>
  <si>
    <t>Game No:97</t>
  </si>
  <si>
    <t>28.02.2026</t>
  </si>
  <si>
    <t>Game No:98</t>
  </si>
  <si>
    <t>01.03.2026</t>
  </si>
  <si>
    <t>Game No:99</t>
  </si>
  <si>
    <t>02.03.2026</t>
  </si>
  <si>
    <t>Game No:100</t>
  </si>
  <si>
    <t>06.03.2026</t>
  </si>
  <si>
    <t>Game No:101</t>
  </si>
  <si>
    <t>08.03.2026</t>
  </si>
  <si>
    <t>Game No:102</t>
  </si>
  <si>
    <t>12.03.2026</t>
  </si>
  <si>
    <t>Game No:103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</si>
</sst>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4A86E8"/>
      <name val="Arial"/>
      <scheme val="minor"/>
    </font>
  </fonts>
  <fills count="6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CFCFE"/>
        <bgColor rgb="FFFCFCFE"/>
      </patternFill>
    </fill>
    <fill>
      <patternFill patternType="solid">
        <fgColor rgb="FFF4F2F9"/>
        <bgColor rgb="FFF4F2F9"/>
      </patternFill>
    </fill>
    <fill>
      <patternFill patternType="solid">
        <fgColor rgb="FF93C47D"/>
        <bgColor rgb="FF93C47D"/>
      </patternFill>
    </fill>
    <fill>
      <patternFill patternType="solid">
        <fgColor rgb="FFF6F5FA"/>
        <bgColor rgb="FFF6F5FA"/>
      </patternFill>
    </fill>
    <fill>
      <patternFill patternType="solid">
        <fgColor rgb="FFD2CBE7"/>
        <bgColor rgb="FFD2CBE7"/>
      </patternFill>
    </fill>
    <fill>
      <patternFill patternType="solid">
        <fgColor rgb="FFFFE599"/>
        <bgColor rgb="FFFFE599"/>
      </patternFill>
    </fill>
    <fill>
      <patternFill patternType="solid">
        <fgColor rgb="FFF7F6FB"/>
        <bgColor rgb="FFF7F6FB"/>
      </patternFill>
    </fill>
    <fill>
      <patternFill patternType="solid">
        <fgColor rgb="FFFFFFFF"/>
        <bgColor rgb="FFFFFFFF"/>
      </patternFill>
    </fill>
    <fill>
      <patternFill patternType="solid">
        <fgColor rgb="FFF9F8FC"/>
        <bgColor rgb="FFF9F8FC"/>
      </patternFill>
    </fill>
    <fill>
      <patternFill patternType="solid">
        <fgColor rgb="FFFEFEFF"/>
        <bgColor rgb="FFFEFEFF"/>
      </patternFill>
    </fill>
    <fill>
      <patternFill patternType="solid">
        <fgColor rgb="FFF8F7FB"/>
        <bgColor rgb="FFF8F7FB"/>
      </patternFill>
    </fill>
    <fill>
      <patternFill patternType="solid">
        <fgColor rgb="FFF2EFF7"/>
        <bgColor rgb="FFF2EFF7"/>
      </patternFill>
    </fill>
    <fill>
      <patternFill patternType="solid">
        <fgColor rgb="FFFBFAFD"/>
        <bgColor rgb="FFFBFAFD"/>
      </patternFill>
    </fill>
    <fill>
      <patternFill patternType="solid">
        <fgColor rgb="FFF1C232"/>
        <bgColor rgb="FFF1C232"/>
      </patternFill>
    </fill>
    <fill>
      <patternFill patternType="solid">
        <fgColor rgb="FFADDEC6"/>
        <bgColor rgb="FFADDEC6"/>
      </patternFill>
    </fill>
    <fill>
      <patternFill patternType="solid">
        <fgColor rgb="FFD0ECDE"/>
        <bgColor rgb="FFD0ECDE"/>
      </patternFill>
    </fill>
    <fill>
      <patternFill patternType="solid">
        <fgColor rgb="FFCEEBDD"/>
        <bgColor rgb="FFCEEBDD"/>
      </patternFill>
    </fill>
    <fill>
      <patternFill patternType="solid">
        <fgColor rgb="FFE6F5EE"/>
        <bgColor rgb="FFE6F5EE"/>
      </patternFill>
    </fill>
    <fill>
      <patternFill patternType="solid">
        <fgColor rgb="FFF1FAF5"/>
        <bgColor rgb="FFF1FAF5"/>
      </patternFill>
    </fill>
    <fill>
      <patternFill patternType="solid">
        <fgColor rgb="FFE9F6F0"/>
        <bgColor rgb="FFE9F6F0"/>
      </patternFill>
    </fill>
    <fill>
      <patternFill patternType="solid">
        <fgColor rgb="FFF4FBF8"/>
        <bgColor rgb="FFF4FBF8"/>
      </patternFill>
    </fill>
    <fill>
      <patternFill patternType="solid">
        <fgColor rgb="FFB7E2CD"/>
        <bgColor rgb="FFB7E2CD"/>
      </patternFill>
    </fill>
    <fill>
      <patternFill patternType="solid">
        <fgColor rgb="FFF6FBF9"/>
        <bgColor rgb="FFF6FBF9"/>
      </patternFill>
    </fill>
    <fill>
      <patternFill patternType="solid">
        <fgColor rgb="FFFFE6A0"/>
        <bgColor rgb="FFFFE6A0"/>
      </patternFill>
    </fill>
    <fill>
      <patternFill patternType="solid">
        <fgColor rgb="FFB4E0CB"/>
        <bgColor rgb="FFB4E0CB"/>
      </patternFill>
    </fill>
    <fill>
      <patternFill patternType="solid">
        <fgColor rgb="FFFFBF5D"/>
        <bgColor rgb="FFFFBF5D"/>
      </patternFill>
    </fill>
    <fill>
      <patternFill patternType="solid">
        <fgColor rgb="FFFDEAD7"/>
        <bgColor rgb="FFFDEAD7"/>
      </patternFill>
    </fill>
    <fill>
      <patternFill patternType="solid">
        <fgColor rgb="FFC4BBE0"/>
        <bgColor rgb="FFC4BBE0"/>
      </patternFill>
    </fill>
    <fill>
      <patternFill patternType="solid">
        <fgColor rgb="FFFFF0C6"/>
        <bgColor rgb="FFFFF0C6"/>
      </patternFill>
    </fill>
    <fill>
      <patternFill patternType="solid">
        <fgColor rgb="FFFBE5E4"/>
        <bgColor rgb="FFFBE5E4"/>
      </patternFill>
    </fill>
    <fill>
      <patternFill patternType="solid">
        <fgColor rgb="FFFFD596"/>
        <bgColor rgb="FFFFD596"/>
      </patternFill>
    </fill>
    <fill>
      <patternFill patternType="solid">
        <fgColor rgb="FFFEF5EC"/>
        <bgColor rgb="FFFEF5EC"/>
      </patternFill>
    </fill>
    <fill>
      <patternFill patternType="solid">
        <fgColor rgb="FFDDD7ED"/>
        <bgColor rgb="FFDDD7ED"/>
      </patternFill>
    </fill>
    <fill>
      <patternFill patternType="solid">
        <fgColor rgb="FF8FD1B1"/>
        <bgColor rgb="FF8FD1B1"/>
      </patternFill>
    </fill>
    <fill>
      <patternFill patternType="solid">
        <fgColor rgb="FFFFCC80"/>
        <bgColor rgb="FFFFCC80"/>
      </patternFill>
    </fill>
    <fill>
      <patternFill patternType="solid">
        <fgColor rgb="FFFEEFE0"/>
        <bgColor rgb="FFFEEFE0"/>
      </patternFill>
    </fill>
    <fill>
      <patternFill patternType="solid">
        <fgColor rgb="FFD1CAE7"/>
        <bgColor rgb="FFD1CAE7"/>
      </patternFill>
    </fill>
    <fill>
      <patternFill patternType="solid">
        <fgColor rgb="FFFFF5D9"/>
        <bgColor rgb="FFFFF5D9"/>
      </patternFill>
    </fill>
    <fill>
      <patternFill patternType="solid">
        <fgColor rgb="FFF4C5C1"/>
        <bgColor rgb="FFF4C5C1"/>
      </patternFill>
    </fill>
    <fill>
      <patternFill patternType="solid">
        <fgColor rgb="FFFFE4BA"/>
        <bgColor rgb="FFFFE4BA"/>
      </patternFill>
    </fill>
    <fill>
      <patternFill patternType="solid">
        <fgColor rgb="FFFFF8F1"/>
        <bgColor rgb="FFFFF8F1"/>
      </patternFill>
    </fill>
    <fill>
      <patternFill patternType="solid">
        <fgColor rgb="FFE8E4F3"/>
        <bgColor rgb="FFE8E4F3"/>
      </patternFill>
    </fill>
    <fill>
      <patternFill patternType="solid">
        <fgColor rgb="FFE8837A"/>
        <bgColor rgb="FFE8837A"/>
      </patternFill>
    </fill>
    <fill>
      <patternFill patternType="solid">
        <fgColor rgb="FFFFFCF6"/>
        <bgColor rgb="FFFFFCF6"/>
      </patternFill>
    </fill>
    <fill>
      <patternFill patternType="solid">
        <fgColor rgb="FFFFFEFE"/>
        <bgColor rgb="FFFFFEFE"/>
      </patternFill>
    </fill>
    <fill>
      <patternFill patternType="solid">
        <fgColor rgb="FFEFA7A1"/>
        <bgColor rgb="FFEFA7A1"/>
      </patternFill>
    </fill>
    <fill>
      <patternFill patternType="solid">
        <fgColor rgb="FFFFF4E2"/>
        <bgColor rgb="FFFFF4E2"/>
      </patternFill>
    </fill>
    <fill>
      <patternFill patternType="solid">
        <fgColor rgb="FFFFFBF7"/>
        <bgColor rgb="FFFFFBF7"/>
      </patternFill>
    </fill>
    <fill>
      <patternFill patternType="solid">
        <fgColor rgb="FFED9D96"/>
        <bgColor rgb="FFED9D96"/>
      </patternFill>
    </fill>
    <fill>
      <patternFill patternType="solid">
        <fgColor rgb="FFFFF7EB"/>
        <bgColor rgb="FFFFF7EB"/>
      </patternFill>
    </fill>
    <fill>
      <patternFill patternType="solid">
        <fgColor rgb="FF69C297"/>
        <bgColor rgb="FF69C297"/>
      </patternFill>
    </fill>
    <fill>
      <patternFill patternType="solid">
        <fgColor rgb="FFFFCD81"/>
        <bgColor rgb="FFFFCD81"/>
      </patternFill>
    </fill>
    <fill>
      <patternFill patternType="solid">
        <fgColor rgb="FFFEF0E1"/>
        <bgColor rgb="FFFEF0E1"/>
      </patternFill>
    </fill>
    <fill>
      <patternFill patternType="solid">
        <fgColor rgb="FFFFFAEC"/>
        <bgColor rgb="FFFFFAEC"/>
      </patternFill>
    </fill>
    <fill>
      <patternFill patternType="solid">
        <fgColor rgb="FFFFEACA"/>
        <bgColor rgb="FFFFEACA"/>
      </patternFill>
    </fill>
    <fill>
      <patternFill patternType="solid">
        <fgColor rgb="FFFFF8F2"/>
        <bgColor rgb="FFFFF8F2"/>
      </patternFill>
    </fill>
    <fill>
      <patternFill patternType="solid">
        <fgColor rgb="FFECE9F5"/>
        <bgColor rgb="FFECE9F5"/>
      </patternFill>
    </fill>
    <fill>
      <patternFill patternType="solid">
        <fgColor rgb="FFD9EFE5"/>
        <bgColor rgb="FFD9EFE5"/>
      </patternFill>
    </fill>
    <fill>
      <patternFill patternType="solid">
        <fgColor rgb="FFFFDFAD"/>
        <bgColor rgb="FFFFDFAD"/>
      </patternFill>
    </fill>
    <fill>
      <patternFill patternType="solid">
        <fgColor rgb="FFFEF2E6"/>
        <bgColor rgb="FFFEF2E6"/>
      </patternFill>
    </fill>
    <fill>
      <patternFill patternType="solid">
        <fgColor rgb="FFDFDAEE"/>
        <bgColor rgb="FFDFDAEE"/>
      </patternFill>
    </fill>
    <fill>
      <patternFill patternType="solid">
        <fgColor rgb="FFF8F9FA"/>
        <bgColor rgb="FFF8F9FA"/>
      </patternFill>
    </fill>
    <fill>
      <patternFill patternType="solid">
        <fgColor rgb="FFF8D9D6"/>
        <bgColor rgb="FFF8D9D6"/>
      </patternFill>
    </fill>
    <fill>
      <patternFill patternType="solid">
        <fgColor rgb="FFFFE0B1"/>
        <bgColor rgb="FFFFE0B1"/>
      </patternFill>
    </fill>
    <fill>
      <patternFill patternType="solid">
        <fgColor rgb="FFFFEBCD"/>
        <bgColor rgb="FFFFEBCD"/>
      </patternFill>
    </fill>
    <fill>
      <patternFill patternType="solid">
        <fgColor rgb="FFE3DEF0"/>
        <bgColor rgb="FFE3DEF0"/>
      </patternFill>
    </fill>
  </fills>
  <borders count="1">
    <border/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2" xfId="0" applyFont="1" applyNumberFormat="1"/>
    <xf borderId="0" fillId="0" fontId="1" numFmtId="0" xfId="0" applyFont="1"/>
    <xf borderId="0" fillId="3" fontId="3" numFmtId="0" xfId="0" applyAlignment="1" applyFill="1" applyFont="1">
      <alignment horizontal="left" readingOrder="0" vertical="bottom"/>
    </xf>
    <xf borderId="0" fillId="4" fontId="3" numFmtId="2" xfId="0" applyAlignment="1" applyFill="1" applyFont="1" applyNumberFormat="1">
      <alignment horizontal="right" vertical="bottom"/>
    </xf>
    <xf borderId="0" fillId="5" fontId="1" numFmtId="0" xfId="0" applyAlignment="1" applyFill="1" applyFont="1">
      <alignment readingOrder="0"/>
    </xf>
    <xf borderId="0" fillId="6" fontId="3" numFmtId="0" xfId="0" applyAlignment="1" applyFill="1" applyFont="1">
      <alignment horizontal="left" readingOrder="0" vertical="bottom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horizontal="right"/>
    </xf>
    <xf borderId="0" fillId="7" fontId="3" numFmtId="2" xfId="0" applyAlignment="1" applyFill="1" applyFont="1" applyNumberFormat="1">
      <alignment horizontal="right" vertical="bottom"/>
    </xf>
    <xf borderId="0" fillId="0" fontId="1" numFmtId="1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1" numFmtId="1" xfId="0" applyFont="1" applyNumberFormat="1"/>
    <xf borderId="0" fillId="0" fontId="1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9" fontId="3" numFmtId="2" xfId="0" applyAlignment="1" applyFill="1" applyFont="1" applyNumberFormat="1">
      <alignment horizontal="right" vertical="bottom"/>
    </xf>
    <xf borderId="0" fillId="10" fontId="3" numFmtId="2" xfId="0" applyAlignment="1" applyFill="1" applyFont="1" applyNumberFormat="1">
      <alignment horizontal="right" vertical="bottom"/>
    </xf>
    <xf borderId="0" fillId="11" fontId="3" numFmtId="2" xfId="0" applyAlignment="1" applyFill="1" applyFont="1" applyNumberFormat="1">
      <alignment horizontal="right" vertical="bottom"/>
    </xf>
    <xf borderId="0" fillId="12" fontId="3" numFmtId="2" xfId="0" applyAlignment="1" applyFill="1" applyFont="1" applyNumberFormat="1">
      <alignment horizontal="right" vertical="bottom"/>
    </xf>
    <xf borderId="0" fillId="13" fontId="3" numFmtId="2" xfId="0" applyAlignment="1" applyFill="1" applyFont="1" applyNumberFormat="1">
      <alignment horizontal="right" vertical="bottom"/>
    </xf>
    <xf borderId="0" fillId="14" fontId="3" numFmtId="2" xfId="0" applyAlignment="1" applyFill="1" applyFont="1" applyNumberFormat="1">
      <alignment horizontal="right" vertical="bottom"/>
    </xf>
    <xf borderId="0" fillId="15" fontId="3" numFmtId="2" xfId="0" applyAlignment="1" applyFill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" xfId="0" applyFont="1" applyNumberFormat="1"/>
    <xf borderId="0" fillId="0" fontId="1" numFmtId="2" xfId="0" applyAlignment="1" applyFont="1" applyNumberFormat="1">
      <alignment readingOrder="0"/>
    </xf>
    <xf borderId="0" fillId="13" fontId="3" numFmtId="0" xfId="0" applyAlignment="1" applyFont="1">
      <alignment horizontal="right" vertical="bottom"/>
    </xf>
    <xf borderId="0" fillId="9" fontId="3" numFmtId="0" xfId="0" applyAlignment="1" applyFont="1">
      <alignment horizontal="right" vertical="bottom"/>
    </xf>
    <xf borderId="0" fillId="16" fontId="4" numFmtId="0" xfId="0" applyAlignment="1" applyFill="1" applyFont="1">
      <alignment readingOrder="0"/>
    </xf>
    <xf borderId="0" fillId="17" fontId="3" numFmtId="0" xfId="0" applyAlignment="1" applyFill="1" applyFont="1">
      <alignment horizontal="right" readingOrder="0" vertical="bottom"/>
    </xf>
    <xf borderId="0" fillId="18" fontId="3" numFmtId="0" xfId="0" applyAlignment="1" applyFill="1" applyFont="1">
      <alignment horizontal="right" readingOrder="0" vertical="bottom"/>
    </xf>
    <xf borderId="0" fillId="19" fontId="3" numFmtId="0" xfId="0" applyAlignment="1" applyFill="1" applyFont="1">
      <alignment horizontal="right" readingOrder="0" vertical="bottom"/>
    </xf>
    <xf borderId="0" fillId="20" fontId="3" numFmtId="0" xfId="0" applyAlignment="1" applyFill="1" applyFont="1">
      <alignment horizontal="right" readingOrder="0" vertical="bottom"/>
    </xf>
    <xf borderId="0" fillId="21" fontId="3" numFmtId="0" xfId="0" applyAlignment="1" applyFill="1" applyFont="1">
      <alignment horizontal="right" readingOrder="0" vertical="bottom"/>
    </xf>
    <xf borderId="0" fillId="22" fontId="3" numFmtId="0" xfId="0" applyAlignment="1" applyFill="1" applyFont="1">
      <alignment horizontal="right" readingOrder="0" vertical="bottom"/>
    </xf>
    <xf borderId="0" fillId="23" fontId="3" numFmtId="0" xfId="0" applyAlignment="1" applyFill="1" applyFont="1">
      <alignment horizontal="right" readingOrder="0" vertical="bottom"/>
    </xf>
    <xf borderId="0" fillId="24" fontId="3" numFmtId="0" xfId="0" applyAlignment="1" applyFill="1" applyFont="1">
      <alignment horizontal="right" readingOrder="0" vertical="bottom"/>
    </xf>
    <xf borderId="0" fillId="25" fontId="3" numFmtId="0" xfId="0" applyAlignment="1" applyFill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2" xfId="0" applyAlignment="1" applyFont="1" applyNumberFormat="1">
      <alignment vertical="bottom"/>
    </xf>
    <xf borderId="0" fillId="10" fontId="3" numFmtId="0" xfId="0" applyAlignment="1" applyFont="1">
      <alignment vertical="bottom"/>
    </xf>
    <xf borderId="0" fillId="10" fontId="3" numFmtId="2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26" fontId="3" numFmtId="0" xfId="0" applyAlignment="1" applyFill="1" applyFont="1">
      <alignment horizontal="right" readingOrder="0" vertical="bottom"/>
    </xf>
    <xf borderId="0" fillId="27" fontId="3" numFmtId="0" xfId="0" applyAlignment="1" applyFill="1" applyFont="1">
      <alignment horizontal="right" readingOrder="0" vertical="bottom"/>
    </xf>
    <xf borderId="0" fillId="28" fontId="3" numFmtId="2" xfId="0" applyAlignment="1" applyFill="1" applyFont="1" applyNumberFormat="1">
      <alignment horizontal="right" vertical="bottom"/>
    </xf>
    <xf borderId="0" fillId="29" fontId="3" numFmtId="2" xfId="0" applyAlignment="1" applyFill="1" applyFont="1" applyNumberFormat="1">
      <alignment horizontal="right" vertical="bottom"/>
    </xf>
    <xf borderId="0" fillId="30" fontId="3" numFmtId="2" xfId="0" applyAlignment="1" applyFill="1" applyFont="1" applyNumberFormat="1">
      <alignment horizontal="right" vertical="bottom"/>
    </xf>
    <xf borderId="0" fillId="31" fontId="3" numFmtId="0" xfId="0" applyAlignment="1" applyFill="1" applyFont="1">
      <alignment horizontal="right" readingOrder="0" vertical="bottom"/>
    </xf>
    <xf borderId="0" fillId="32" fontId="3" numFmtId="0" xfId="0" applyAlignment="1" applyFill="1" applyFont="1">
      <alignment horizontal="right" readingOrder="0" vertical="bottom"/>
    </xf>
    <xf borderId="0" fillId="33" fontId="3" numFmtId="2" xfId="0" applyAlignment="1" applyFill="1" applyFont="1" applyNumberFormat="1">
      <alignment horizontal="right" vertical="bottom"/>
    </xf>
    <xf borderId="0" fillId="34" fontId="3" numFmtId="2" xfId="0" applyAlignment="1" applyFill="1" applyFont="1" applyNumberFormat="1">
      <alignment horizontal="right" vertical="bottom"/>
    </xf>
    <xf borderId="0" fillId="35" fontId="3" numFmtId="2" xfId="0" applyAlignment="1" applyFill="1" applyFont="1" applyNumberFormat="1">
      <alignment horizontal="right" vertical="bottom"/>
    </xf>
    <xf borderId="0" fillId="36" fontId="3" numFmtId="0" xfId="0" applyAlignment="1" applyFill="1" applyFont="1">
      <alignment horizontal="right" readingOrder="0" vertical="bottom"/>
    </xf>
    <xf borderId="0" fillId="37" fontId="3" numFmtId="2" xfId="0" applyAlignment="1" applyFill="1" applyFont="1" applyNumberFormat="1">
      <alignment horizontal="right" vertical="bottom"/>
    </xf>
    <xf borderId="0" fillId="38" fontId="3" numFmtId="2" xfId="0" applyAlignment="1" applyFill="1" applyFont="1" applyNumberFormat="1">
      <alignment horizontal="right" vertical="bottom"/>
    </xf>
    <xf borderId="0" fillId="39" fontId="3" numFmtId="2" xfId="0" applyAlignment="1" applyFill="1" applyFont="1" applyNumberFormat="1">
      <alignment horizontal="right" vertical="bottom"/>
    </xf>
    <xf borderId="0" fillId="40" fontId="3" numFmtId="0" xfId="0" applyAlignment="1" applyFill="1" applyFont="1">
      <alignment horizontal="right" readingOrder="0" vertical="bottom"/>
    </xf>
    <xf borderId="0" fillId="41" fontId="3" numFmtId="0" xfId="0" applyAlignment="1" applyFill="1" applyFont="1">
      <alignment horizontal="right" readingOrder="0" vertical="bottom"/>
    </xf>
    <xf borderId="0" fillId="42" fontId="3" numFmtId="2" xfId="0" applyAlignment="1" applyFill="1" applyFont="1" applyNumberFormat="1">
      <alignment horizontal="right" vertical="bottom"/>
    </xf>
    <xf borderId="0" fillId="43" fontId="3" numFmtId="2" xfId="0" applyAlignment="1" applyFill="1" applyFont="1" applyNumberFormat="1">
      <alignment horizontal="right" vertical="bottom"/>
    </xf>
    <xf borderId="0" fillId="44" fontId="3" numFmtId="2" xfId="0" applyAlignment="1" applyFill="1" applyFont="1" applyNumberFormat="1">
      <alignment horizontal="right" vertical="bottom"/>
    </xf>
    <xf borderId="0" fillId="10" fontId="3" numFmtId="0" xfId="0" applyAlignment="1" applyFont="1">
      <alignment horizontal="right" readingOrder="0" vertical="bottom"/>
    </xf>
    <xf borderId="0" fillId="45" fontId="3" numFmtId="0" xfId="0" applyAlignment="1" applyFill="1" applyFont="1">
      <alignment horizontal="right" readingOrder="0" vertical="bottom"/>
    </xf>
    <xf borderId="0" fillId="46" fontId="3" numFmtId="2" xfId="0" applyAlignment="1" applyFill="1" applyFont="1" applyNumberFormat="1">
      <alignment horizontal="right" vertical="bottom"/>
    </xf>
    <xf borderId="0" fillId="47" fontId="3" numFmtId="2" xfId="0" applyAlignment="1" applyFill="1" applyFont="1" applyNumberFormat="1">
      <alignment horizontal="right" vertical="bottom"/>
    </xf>
    <xf borderId="0" fillId="3" fontId="3" numFmtId="2" xfId="0" applyAlignment="1" applyFont="1" applyNumberFormat="1">
      <alignment horizontal="right" vertical="bottom"/>
    </xf>
    <xf borderId="0" fillId="48" fontId="3" numFmtId="0" xfId="0" applyAlignment="1" applyFill="1" applyFont="1">
      <alignment horizontal="right" readingOrder="0" vertical="bottom"/>
    </xf>
    <xf borderId="0" fillId="49" fontId="3" numFmtId="2" xfId="0" applyAlignment="1" applyFill="1" applyFont="1" applyNumberFormat="1">
      <alignment horizontal="right" vertical="bottom"/>
    </xf>
    <xf borderId="0" fillId="50" fontId="3" numFmtId="2" xfId="0" applyAlignment="1" applyFill="1" applyFont="1" applyNumberFormat="1">
      <alignment horizontal="right" vertical="bottom"/>
    </xf>
    <xf borderId="0" fillId="51" fontId="3" numFmtId="0" xfId="0" applyAlignment="1" applyFill="1" applyFont="1">
      <alignment horizontal="right" readingOrder="0" vertical="bottom"/>
    </xf>
    <xf borderId="0" fillId="52" fontId="3" numFmtId="2" xfId="0" applyAlignment="1" applyFill="1" applyFont="1" applyNumberFormat="1">
      <alignment horizontal="right" vertical="bottom"/>
    </xf>
    <xf borderId="0" fillId="6" fontId="3" numFmtId="2" xfId="0" applyAlignment="1" applyFont="1" applyNumberFormat="1">
      <alignment horizontal="right" vertical="bottom"/>
    </xf>
    <xf borderId="0" fillId="53" fontId="3" numFmtId="0" xfId="0" applyAlignment="1" applyFill="1" applyFont="1">
      <alignment horizontal="right" readingOrder="0" vertical="bottom"/>
    </xf>
    <xf borderId="0" fillId="54" fontId="3" numFmtId="2" xfId="0" applyAlignment="1" applyFill="1" applyFont="1" applyNumberFormat="1">
      <alignment horizontal="right" vertical="bottom"/>
    </xf>
    <xf borderId="0" fillId="55" fontId="3" numFmtId="2" xfId="0" applyAlignment="1" applyFill="1" applyFont="1" applyNumberFormat="1">
      <alignment horizontal="right" vertical="bottom"/>
    </xf>
    <xf borderId="0" fillId="56" fontId="3" numFmtId="0" xfId="0" applyAlignment="1" applyFill="1" applyFont="1">
      <alignment horizontal="right" readingOrder="0" vertical="bottom"/>
    </xf>
    <xf borderId="0" fillId="57" fontId="3" numFmtId="2" xfId="0" applyAlignment="1" applyFill="1" applyFont="1" applyNumberFormat="1">
      <alignment horizontal="right" vertical="bottom"/>
    </xf>
    <xf borderId="0" fillId="58" fontId="3" numFmtId="2" xfId="0" applyAlignment="1" applyFill="1" applyFont="1" applyNumberFormat="1">
      <alignment horizontal="right" vertical="bottom"/>
    </xf>
    <xf borderId="0" fillId="59" fontId="3" numFmtId="2" xfId="0" applyAlignment="1" applyFill="1" applyFont="1" applyNumberFormat="1">
      <alignment horizontal="right" vertical="bottom"/>
    </xf>
    <xf borderId="0" fillId="59" fontId="3" numFmtId="0" xfId="0" applyAlignment="1" applyFont="1">
      <alignment horizontal="right" vertical="bottom"/>
    </xf>
    <xf borderId="0" fillId="60" fontId="3" numFmtId="0" xfId="0" applyAlignment="1" applyFill="1" applyFont="1">
      <alignment horizontal="right" readingOrder="0" vertical="bottom"/>
    </xf>
    <xf borderId="0" fillId="61" fontId="3" numFmtId="2" xfId="0" applyAlignment="1" applyFill="1" applyFont="1" applyNumberFormat="1">
      <alignment horizontal="right" vertical="bottom"/>
    </xf>
    <xf borderId="0" fillId="62" fontId="3" numFmtId="2" xfId="0" applyAlignment="1" applyFill="1" applyFont="1" applyNumberFormat="1">
      <alignment horizontal="right" vertical="bottom"/>
    </xf>
    <xf borderId="0" fillId="63" fontId="3" numFmtId="2" xfId="0" applyAlignment="1" applyFill="1" applyFont="1" applyNumberFormat="1">
      <alignment horizontal="right" vertical="bottom"/>
    </xf>
    <xf borderId="0" fillId="63" fontId="3" numFmtId="0" xfId="0" applyAlignment="1" applyFont="1">
      <alignment horizontal="right" vertical="bottom"/>
    </xf>
    <xf borderId="0" fillId="64" fontId="3" numFmtId="0" xfId="0" applyAlignment="1" applyFill="1" applyFont="1">
      <alignment horizontal="right" vertical="bottom"/>
    </xf>
    <xf borderId="0" fillId="64" fontId="3" numFmtId="1" xfId="0" applyAlignment="1" applyFont="1" applyNumberFormat="1">
      <alignment horizontal="right" vertical="bottom"/>
    </xf>
    <xf borderId="0" fillId="65" fontId="3" numFmtId="1" xfId="0" applyAlignment="1" applyFill="1" applyFont="1" applyNumberFormat="1">
      <alignment horizontal="right" vertical="bottom"/>
    </xf>
    <xf borderId="0" fillId="66" fontId="3" numFmtId="2" xfId="0" applyAlignment="1" applyFill="1" applyFont="1" applyNumberFormat="1">
      <alignment horizontal="right" vertical="bottom"/>
    </xf>
    <xf borderId="0" fillId="67" fontId="3" numFmtId="2" xfId="0" applyAlignment="1" applyFill="1" applyFont="1" applyNumberFormat="1">
      <alignment horizontal="right" vertical="bottom"/>
    </xf>
    <xf borderId="0" fillId="68" fontId="3" numFmtId="2" xfId="0" applyAlignment="1" applyFill="1" applyFont="1" applyNumberFormat="1">
      <alignment horizontal="right" vertical="bottom"/>
    </xf>
    <xf borderId="0" fillId="68" fontId="3" numFmtId="0" xfId="0" applyAlignment="1" applyFont="1">
      <alignment horizontal="right" vertical="bottom"/>
    </xf>
    <xf borderId="0" fillId="64" fontId="3" numFmtId="0" xfId="0" applyAlignment="1" applyFont="1">
      <alignment vertical="bottom"/>
    </xf>
    <xf borderId="0" fillId="10" fontId="3" numFmtId="0" xfId="0" applyAlignment="1" applyFont="1">
      <alignment horizontal="right" vertical="bottom"/>
    </xf>
    <xf borderId="0" fillId="10" fontId="3" numFmtId="2" xfId="0" applyAlignment="1" applyFont="1" applyNumberFormat="1">
      <alignment horizontal="right" vertical="bottom"/>
    </xf>
    <xf borderId="0" fillId="64" fontId="3" numFmtId="0" xfId="0" applyAlignment="1" applyFont="1">
      <alignment readingOrder="0" vertical="bottom"/>
    </xf>
    <xf borderId="0" fillId="10" fontId="3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07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  <tableStyle count="2" pivot="0" name="Sheet1-style 7">
      <tableStyleElement dxfId="2" type="firstRowStripe"/>
      <tableStyleElement dxfId="1" type="secondRowStripe"/>
    </tableStyle>
    <tableStyle count="2" pivot="0" name="Sheet1-style 8">
      <tableStyleElement dxfId="1" type="firstRowStripe"/>
      <tableStyleElement dxfId="2" type="secondRowStripe"/>
    </tableStyle>
    <tableStyle count="2" pivot="0" name="Sheet1-style 9">
      <tableStyleElement dxfId="2" type="firstRowStripe"/>
      <tableStyleElement dxfId="1" type="secondRowStripe"/>
    </tableStyle>
    <tableStyle count="2" pivot="0" name="Sheet1-style 10">
      <tableStyleElement dxfId="1" type="firstRowStripe"/>
      <tableStyleElement dxfId="2" type="secondRowStripe"/>
    </tableStyle>
    <tableStyle count="2" pivot="0" name="Sheet1-style 11">
      <tableStyleElement dxfId="2" type="firstRowStripe"/>
      <tableStyleElement dxfId="1" type="secondRowStripe"/>
    </tableStyle>
    <tableStyle count="2" pivot="0" name="Sheet1-style 12">
      <tableStyleElement dxfId="2" type="firstRowStripe"/>
      <tableStyleElement dxfId="1" type="secondRowStripe"/>
    </tableStyle>
    <tableStyle count="2" pivot="0" name="Sheet1-style 13">
      <tableStyleElement dxfId="2" type="firstRowStripe"/>
      <tableStyleElement dxfId="1" type="secondRowStripe"/>
    </tableStyle>
    <tableStyle count="2" pivot="0" name="Sheet1-style 14">
      <tableStyleElement dxfId="2" type="firstRowStripe"/>
      <tableStyleElement dxfId="1" type="secondRowStripe"/>
    </tableStyle>
    <tableStyle count="2" pivot="0" name="Sheet1-style 15">
      <tableStyleElement dxfId="2" type="firstRowStripe"/>
      <tableStyleElement dxfId="1" type="secondRowStripe"/>
    </tableStyle>
    <tableStyle count="2" pivot="0" name="Sheet1-style 16">
      <tableStyleElement dxfId="2" type="firstRowStripe"/>
      <tableStyleElement dxfId="1" type="secondRowStripe"/>
    </tableStyle>
    <tableStyle count="2" pivot="0" name="Sheet1-style 17">
      <tableStyleElement dxfId="2" type="firstRowStripe"/>
      <tableStyleElement dxfId="1" type="secondRowStripe"/>
    </tableStyle>
    <tableStyle count="2" pivot="0" name="Sheet1-style 18">
      <tableStyleElement dxfId="2" type="firstRowStripe"/>
      <tableStyleElement dxfId="1" type="secondRowStripe"/>
    </tableStyle>
    <tableStyle count="2" pivot="0" name="Sheet1-style 19">
      <tableStyleElement dxfId="2" type="firstRowStripe"/>
      <tableStyleElement dxfId="1" type="secondRowStripe"/>
    </tableStyle>
    <tableStyle count="2" pivot="0" name="Sheet1-style 20">
      <tableStyleElement dxfId="2" type="firstRowStripe"/>
      <tableStyleElement dxfId="1" type="secondRowStripe"/>
    </tableStyle>
    <tableStyle count="2" pivot="0" name="Sheet1-style 21">
      <tableStyleElement dxfId="2" type="firstRowStripe"/>
      <tableStyleElement dxfId="1" type="secondRowStripe"/>
    </tableStyle>
    <tableStyle count="2" pivot="0" name="Sheet1-style 22">
      <tableStyleElement dxfId="2" type="firstRowStripe"/>
      <tableStyleElement dxfId="1" type="secondRowStripe"/>
    </tableStyle>
    <tableStyle count="2" pivot="0" name="Sheet1-style 23">
      <tableStyleElement dxfId="2" type="firstRowStripe"/>
      <tableStyleElement dxfId="1" type="secondRowStripe"/>
    </tableStyle>
    <tableStyle count="2" pivot="0" name="Sheet1-style 24">
      <tableStyleElement dxfId="2" type="firstRowStripe"/>
      <tableStyleElement dxfId="1" type="secondRowStripe"/>
    </tableStyle>
    <tableStyle count="2" pivot="0" name="Sheet1-style 25">
      <tableStyleElement dxfId="2" type="firstRowStripe"/>
      <tableStyleElement dxfId="1" type="secondRowStripe"/>
    </tableStyle>
    <tableStyle count="2" pivot="0" name="Sheet1-style 26">
      <tableStyleElement dxfId="2" type="firstRowStripe"/>
      <tableStyleElement dxfId="1" type="secondRowStripe"/>
    </tableStyle>
    <tableStyle count="2" pivot="0" name="Sheet1-style 27">
      <tableStyleElement dxfId="2" type="firstRowStripe"/>
      <tableStyleElement dxfId="1" type="secondRowStripe"/>
    </tableStyle>
    <tableStyle count="2" pivot="0" name="Sheet1-style 28">
      <tableStyleElement dxfId="2" type="firstRowStripe"/>
      <tableStyleElement dxfId="1" type="secondRowStripe"/>
    </tableStyle>
    <tableStyle count="2" pivot="0" name="Sheet1-style 29">
      <tableStyleElement dxfId="2" type="firstRowStripe"/>
      <tableStyleElement dxfId="1" type="secondRowStripe"/>
    </tableStyle>
    <tableStyle count="2" pivot="0" name="Sheet1-style 30">
      <tableStyleElement dxfId="2" type="firstRowStripe"/>
      <tableStyleElement dxfId="1" type="secondRowStripe"/>
    </tableStyle>
    <tableStyle count="2" pivot="0" name="Sheet1-style 31">
      <tableStyleElement dxfId="2" type="firstRowStripe"/>
      <tableStyleElement dxfId="1" type="secondRowStripe"/>
    </tableStyle>
    <tableStyle count="2" pivot="0" name="Sheet1-style 32">
      <tableStyleElement dxfId="2" type="firstRowStripe"/>
      <tableStyleElement dxfId="1" type="secondRowStripe"/>
    </tableStyle>
    <tableStyle count="2" pivot="0" name="Sheet1-style 33">
      <tableStyleElement dxfId="2" type="firstRowStripe"/>
      <tableStyleElement dxfId="1" type="secondRowStripe"/>
    </tableStyle>
    <tableStyle count="2" pivot="0" name="Sheet1-style 34">
      <tableStyleElement dxfId="2" type="firstRowStripe"/>
      <tableStyleElement dxfId="1" type="secondRowStripe"/>
    </tableStyle>
    <tableStyle count="2" pivot="0" name="Sheet1-style 35">
      <tableStyleElement dxfId="2" type="firstRowStripe"/>
      <tableStyleElement dxfId="1" type="secondRowStripe"/>
    </tableStyle>
    <tableStyle count="2" pivot="0" name="Sheet1-style 36">
      <tableStyleElement dxfId="2" type="firstRowStripe"/>
      <tableStyleElement dxfId="1" type="secondRowStripe"/>
    </tableStyle>
    <tableStyle count="2" pivot="0" name="Sheet1-style 37">
      <tableStyleElement dxfId="2" type="firstRowStripe"/>
      <tableStyleElement dxfId="1" type="secondRowStripe"/>
    </tableStyle>
    <tableStyle count="2" pivot="0" name="Sheet1-style 38">
      <tableStyleElement dxfId="2" type="firstRowStripe"/>
      <tableStyleElement dxfId="1" type="secondRowStripe"/>
    </tableStyle>
    <tableStyle count="2" pivot="0" name="Sheet1-style 39">
      <tableStyleElement dxfId="2" type="firstRowStripe"/>
      <tableStyleElement dxfId="1" type="secondRowStripe"/>
    </tableStyle>
    <tableStyle count="2" pivot="0" name="Sheet1-style 40">
      <tableStyleElement dxfId="2" type="firstRowStripe"/>
      <tableStyleElement dxfId="1" type="secondRowStripe"/>
    </tableStyle>
    <tableStyle count="2" pivot="0" name="Sheet1-style 41">
      <tableStyleElement dxfId="2" type="firstRowStripe"/>
      <tableStyleElement dxfId="1" type="secondRowStripe"/>
    </tableStyle>
    <tableStyle count="2" pivot="0" name="Sheet1-style 42">
      <tableStyleElement dxfId="2" type="firstRowStripe"/>
      <tableStyleElement dxfId="1" type="secondRowStripe"/>
    </tableStyle>
    <tableStyle count="2" pivot="0" name="Sheet1-style 43">
      <tableStyleElement dxfId="2" type="firstRowStripe"/>
      <tableStyleElement dxfId="1" type="secondRowStripe"/>
    </tableStyle>
    <tableStyle count="2" pivot="0" name="Sheet1-style 44">
      <tableStyleElement dxfId="2" type="firstRowStripe"/>
      <tableStyleElement dxfId="1" type="secondRowStripe"/>
    </tableStyle>
    <tableStyle count="2" pivot="0" name="Sheet1-style 45">
      <tableStyleElement dxfId="2" type="firstRowStripe"/>
      <tableStyleElement dxfId="1" type="secondRowStripe"/>
    </tableStyle>
    <tableStyle count="2" pivot="0" name="Sheet1-style 46">
      <tableStyleElement dxfId="2" type="firstRowStripe"/>
      <tableStyleElement dxfId="1" type="secondRowStripe"/>
    </tableStyle>
    <tableStyle count="2" pivot="0" name="Sheet1-style 47">
      <tableStyleElement dxfId="2" type="firstRowStripe"/>
      <tableStyleElement dxfId="1" type="secondRowStripe"/>
    </tableStyle>
    <tableStyle count="2" pivot="0" name="Sheet1-style 48">
      <tableStyleElement dxfId="2" type="firstRowStripe"/>
      <tableStyleElement dxfId="1" type="secondRowStripe"/>
    </tableStyle>
    <tableStyle count="2" pivot="0" name="Sheet1-style 49">
      <tableStyleElement dxfId="2" type="firstRowStripe"/>
      <tableStyleElement dxfId="1" type="secondRowStripe"/>
    </tableStyle>
    <tableStyle count="2" pivot="0" name="Sheet1-style 50">
      <tableStyleElement dxfId="2" type="firstRowStripe"/>
      <tableStyleElement dxfId="1" type="secondRowStripe"/>
    </tableStyle>
    <tableStyle count="2" pivot="0" name="Sheet1-style 51">
      <tableStyleElement dxfId="2" type="firstRowStripe"/>
      <tableStyleElement dxfId="1" type="secondRowStripe"/>
    </tableStyle>
    <tableStyle count="2" pivot="0" name="Sheet1-style 52">
      <tableStyleElement dxfId="2" type="firstRowStripe"/>
      <tableStyleElement dxfId="1" type="secondRowStripe"/>
    </tableStyle>
    <tableStyle count="2" pivot="0" name="Sheet1-style 53">
      <tableStyleElement dxfId="2" type="firstRowStripe"/>
      <tableStyleElement dxfId="1" type="secondRowStripe"/>
    </tableStyle>
    <tableStyle count="2" pivot="0" name="Sheet1-style 54">
      <tableStyleElement dxfId="2" type="firstRowStripe"/>
      <tableStyleElement dxfId="1" type="secondRowStripe"/>
    </tableStyle>
    <tableStyle count="2" pivot="0" name="Sheet1-style 55">
      <tableStyleElement dxfId="2" type="firstRowStripe"/>
      <tableStyleElement dxfId="1" type="secondRowStripe"/>
    </tableStyle>
    <tableStyle count="2" pivot="0" name="Sheet1-style 56">
      <tableStyleElement dxfId="2" type="firstRowStripe"/>
      <tableStyleElement dxfId="1" type="secondRowStripe"/>
    </tableStyle>
    <tableStyle count="2" pivot="0" name="Sheet1-style 57">
      <tableStyleElement dxfId="2" type="firstRowStripe"/>
      <tableStyleElement dxfId="1" type="secondRowStripe"/>
    </tableStyle>
    <tableStyle count="2" pivot="0" name="Sheet1-style 58">
      <tableStyleElement dxfId="2" type="firstRowStripe"/>
      <tableStyleElement dxfId="1" type="secondRowStripe"/>
    </tableStyle>
    <tableStyle count="2" pivot="0" name="Sheet1-style 59">
      <tableStyleElement dxfId="2" type="firstRowStripe"/>
      <tableStyleElement dxfId="1" type="secondRowStripe"/>
    </tableStyle>
    <tableStyle count="2" pivot="0" name="Sheet1-style 60">
      <tableStyleElement dxfId="2" type="firstRowStripe"/>
      <tableStyleElement dxfId="1" type="secondRowStripe"/>
    </tableStyle>
    <tableStyle count="2" pivot="0" name="Sheet1-style 61">
      <tableStyleElement dxfId="2" type="firstRowStripe"/>
      <tableStyleElement dxfId="1" type="secondRowStripe"/>
    </tableStyle>
    <tableStyle count="2" pivot="0" name="Sheet1-style 62">
      <tableStyleElement dxfId="2" type="firstRowStripe"/>
      <tableStyleElement dxfId="1" type="secondRowStripe"/>
    </tableStyle>
    <tableStyle count="2" pivot="0" name="Sheet1-style 63">
      <tableStyleElement dxfId="2" type="firstRowStripe"/>
      <tableStyleElement dxfId="1" type="secondRowStripe"/>
    </tableStyle>
    <tableStyle count="2" pivot="0" name="Sheet1-style 64">
      <tableStyleElement dxfId="2" type="firstRowStripe"/>
      <tableStyleElement dxfId="1" type="secondRowStripe"/>
    </tableStyle>
    <tableStyle count="2" pivot="0" name="Sheet1-style 65">
      <tableStyleElement dxfId="2" type="firstRowStripe"/>
      <tableStyleElement dxfId="1" type="secondRowStripe"/>
    </tableStyle>
    <tableStyle count="2" pivot="0" name="Sheet1-style 66">
      <tableStyleElement dxfId="2" type="firstRowStripe"/>
      <tableStyleElement dxfId="1" type="secondRowStripe"/>
    </tableStyle>
    <tableStyle count="2" pivot="0" name="Sheet1-style 67">
      <tableStyleElement dxfId="2" type="firstRowStripe"/>
      <tableStyleElement dxfId="1" type="secondRowStripe"/>
    </tableStyle>
    <tableStyle count="2" pivot="0" name="Sheet1-style 68">
      <tableStyleElement dxfId="2" type="firstRowStripe"/>
      <tableStyleElement dxfId="1" type="secondRowStripe"/>
    </tableStyle>
    <tableStyle count="2" pivot="0" name="Sheet1-style 69">
      <tableStyleElement dxfId="2" type="firstRowStripe"/>
      <tableStyleElement dxfId="1" type="secondRowStripe"/>
    </tableStyle>
    <tableStyle count="2" pivot="0" name="Sheet1-style 70">
      <tableStyleElement dxfId="2" type="firstRowStripe"/>
      <tableStyleElement dxfId="1" type="secondRowStripe"/>
    </tableStyle>
    <tableStyle count="2" pivot="0" name="Sheet1-style 71">
      <tableStyleElement dxfId="2" type="firstRowStripe"/>
      <tableStyleElement dxfId="1" type="secondRowStripe"/>
    </tableStyle>
    <tableStyle count="2" pivot="0" name="Sheet1-style 72">
      <tableStyleElement dxfId="2" type="firstRowStripe"/>
      <tableStyleElement dxfId="1" type="secondRowStripe"/>
    </tableStyle>
    <tableStyle count="2" pivot="0" name="Sheet1-style 73">
      <tableStyleElement dxfId="2" type="firstRowStripe"/>
      <tableStyleElement dxfId="1" type="secondRowStripe"/>
    </tableStyle>
    <tableStyle count="2" pivot="0" name="Sheet1-style 74">
      <tableStyleElement dxfId="2" type="firstRowStripe"/>
      <tableStyleElement dxfId="1" type="secondRowStripe"/>
    </tableStyle>
    <tableStyle count="2" pivot="0" name="Sheet1-style 75">
      <tableStyleElement dxfId="2" type="firstRowStripe"/>
      <tableStyleElement dxfId="1" type="secondRowStripe"/>
    </tableStyle>
    <tableStyle count="2" pivot="0" name="Sheet1-style 76">
      <tableStyleElement dxfId="2" type="firstRowStripe"/>
      <tableStyleElement dxfId="1" type="secondRowStripe"/>
    </tableStyle>
    <tableStyle count="2" pivot="0" name="Sheet1-style 77">
      <tableStyleElement dxfId="2" type="firstRowStripe"/>
      <tableStyleElement dxfId="1" type="secondRowStripe"/>
    </tableStyle>
    <tableStyle count="2" pivot="0" name="Sheet1-style 78">
      <tableStyleElement dxfId="2" type="firstRowStripe"/>
      <tableStyleElement dxfId="1" type="secondRowStripe"/>
    </tableStyle>
    <tableStyle count="2" pivot="0" name="Sheet1-style 79">
      <tableStyleElement dxfId="2" type="firstRowStripe"/>
      <tableStyleElement dxfId="1" type="secondRowStripe"/>
    </tableStyle>
    <tableStyle count="2" pivot="0" name="Sheet1-style 80">
      <tableStyleElement dxfId="2" type="firstRowStripe"/>
      <tableStyleElement dxfId="1" type="secondRowStripe"/>
    </tableStyle>
    <tableStyle count="2" pivot="0" name="Sheet1-style 81">
      <tableStyleElement dxfId="2" type="firstRowStripe"/>
      <tableStyleElement dxfId="1" type="secondRowStripe"/>
    </tableStyle>
    <tableStyle count="2" pivot="0" name="Sheet1-style 82">
      <tableStyleElement dxfId="2" type="firstRowStripe"/>
      <tableStyleElement dxfId="1" type="secondRowStripe"/>
    </tableStyle>
    <tableStyle count="2" pivot="0" name="Sheet1-style 83">
      <tableStyleElement dxfId="2" type="firstRowStripe"/>
      <tableStyleElement dxfId="1" type="secondRowStripe"/>
    </tableStyle>
    <tableStyle count="2" pivot="0" name="Sheet1-style 84">
      <tableStyleElement dxfId="2" type="firstRowStripe"/>
      <tableStyleElement dxfId="1" type="secondRowStripe"/>
    </tableStyle>
    <tableStyle count="2" pivot="0" name="Sheet1-style 85">
      <tableStyleElement dxfId="1" type="firstRowStripe"/>
      <tableStyleElement dxfId="2" type="secondRowStripe"/>
    </tableStyle>
    <tableStyle count="2" pivot="0" name="Sheet1-style 86">
      <tableStyleElement dxfId="2" type="firstRowStripe"/>
      <tableStyleElement dxfId="1" type="secondRowStripe"/>
    </tableStyle>
    <tableStyle count="2" pivot="0" name="Sheet1-style 87">
      <tableStyleElement dxfId="2" type="firstRowStripe"/>
      <tableStyleElement dxfId="1" type="secondRowStripe"/>
    </tableStyle>
    <tableStyle count="2" pivot="0" name="Sheet1-style 88">
      <tableStyleElement dxfId="2" type="firstRowStripe"/>
      <tableStyleElement dxfId="1" type="secondRowStripe"/>
    </tableStyle>
    <tableStyle count="2" pivot="0" name="Sheet1-style 89">
      <tableStyleElement dxfId="2" type="firstRowStripe"/>
      <tableStyleElement dxfId="1" type="secondRowStripe"/>
    </tableStyle>
    <tableStyle count="2" pivot="0" name="Sheet1-style 90">
      <tableStyleElement dxfId="2" type="firstRowStripe"/>
      <tableStyleElement dxfId="1" type="secondRowStripe"/>
    </tableStyle>
    <tableStyle count="2" pivot="0" name="Sheet1-style 91">
      <tableStyleElement dxfId="2" type="firstRowStripe"/>
      <tableStyleElement dxfId="1" type="secondRowStripe"/>
    </tableStyle>
    <tableStyle count="2" pivot="0" name="Sheet1-style 92">
      <tableStyleElement dxfId="2" type="firstRowStripe"/>
      <tableStyleElement dxfId="1" type="secondRowStripe"/>
    </tableStyle>
    <tableStyle count="2" pivot="0" name="Sheet1-style 93">
      <tableStyleElement dxfId="2" type="firstRowStripe"/>
      <tableStyleElement dxfId="1" type="secondRowStripe"/>
    </tableStyle>
    <tableStyle count="2" pivot="0" name="Sheet1-style 94">
      <tableStyleElement dxfId="2" type="firstRowStripe"/>
      <tableStyleElement dxfId="1" type="secondRowStripe"/>
    </tableStyle>
    <tableStyle count="2" pivot="0" name="Sheet1-style 95">
      <tableStyleElement dxfId="2" type="firstRowStripe"/>
      <tableStyleElement dxfId="1" type="secondRowStripe"/>
    </tableStyle>
    <tableStyle count="2" pivot="0" name="Sheet1-style 96">
      <tableStyleElement dxfId="2" type="firstRowStripe"/>
      <tableStyleElement dxfId="1" type="secondRowStripe"/>
    </tableStyle>
    <tableStyle count="2" pivot="0" name="Sheet1-style 97">
      <tableStyleElement dxfId="2" type="firstRowStripe"/>
      <tableStyleElement dxfId="1" type="secondRowStripe"/>
    </tableStyle>
    <tableStyle count="2" pivot="0" name="Sheet1-style 98">
      <tableStyleElement dxfId="2" type="firstRowStripe"/>
      <tableStyleElement dxfId="1" type="secondRowStripe"/>
    </tableStyle>
    <tableStyle count="2" pivot="0" name="Sheet1-style 99">
      <tableStyleElement dxfId="2" type="firstRowStripe"/>
      <tableStyleElement dxfId="1" type="secondRowStripe"/>
    </tableStyle>
    <tableStyle count="2" pivot="0" name="Sheet1-style 100">
      <tableStyleElement dxfId="2" type="firstRowStripe"/>
      <tableStyleElement dxfId="1" type="secondRowStripe"/>
    </tableStyle>
    <tableStyle count="2" pivot="0" name="Sheet1-style 101">
      <tableStyleElement dxfId="2" type="firstRowStripe"/>
      <tableStyleElement dxfId="1" type="secondRowStripe"/>
    </tableStyle>
    <tableStyle count="2" pivot="0" name="Sheet1-style 102">
      <tableStyleElement dxfId="2" type="firstRowStripe"/>
      <tableStyleElement dxfId="1" type="secondRowStripe"/>
    </tableStyle>
    <tableStyle count="2" pivot="0" name="Sheet1-style 103">
      <tableStyleElement dxfId="2" type="firstRowStripe"/>
      <tableStyleElement dxfId="1" type="secondRowStripe"/>
    </tableStyle>
    <tableStyle count="2" pivot="0" name="Sheet1-style 104">
      <tableStyleElement dxfId="2" type="firstRowStripe"/>
      <tableStyleElement dxfId="1" type="secondRowStripe"/>
    </tableStyle>
    <tableStyle count="2" pivot="0" name="Sheet1-style 105">
      <tableStyleElement dxfId="2" type="firstRowStripe"/>
      <tableStyleElement dxfId="1" type="secondRowStripe"/>
    </tableStyle>
    <tableStyle count="2" pivot="0" name="Sheet1-style 106">
      <tableStyleElement dxfId="2" type="firstRowStripe"/>
      <tableStyleElement dxfId="1" type="secondRowStripe"/>
    </tableStyle>
    <tableStyle count="2" pivot="0" name="Sheet1-style 107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8:J11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J22:J25" displayName="Table_2" name="Table_2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J36:J39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J50:J53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J64:J67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J78:J81" displayName="Table_6" name="Table_6" id="6">
  <tableColumns count="1">
    <tableColumn name="Column1" id="1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B87:H97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J92:J95" displayName="Table_8" name="Table_8" id="8">
  <tableColumns count="1">
    <tableColumn name="Column1" id="1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B101:H111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J106:J109" displayName="Table_10" name="Table_10" id="10">
  <tableColumns count="1">
    <tableColumn name="Column1" id="1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115:J125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129:J140" displayName="Table_12" name="Table_12" id="1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143:J154" displayName="Table_13" name="Table_13" id="1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B157:J168" displayName="Table_14" name="Table_14" id="1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171:J182" displayName="Table_15" name="Table_15" id="1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185:J196" displayName="Table_16" name="Table_16" id="1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B199:J210" displayName="Table_17" name="Table_17" id="1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B213:J224" displayName="Table_18" name="Table_18" id="1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227:J238" displayName="Table_19" name="Table_19" id="1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B241:J252" displayName="Table_20" name="Table_20" id="2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B255:J266" displayName="Table_21" name="Table_21" id="2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B269:J280" displayName="Table_22" name="Table_22" id="2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B283:J294" displayName="Table_23" name="Table_23" id="2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B297:J308" displayName="Table_24" name="Table_24" id="2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B311:J322" displayName="Table_25" name="Table_25" id="2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B325:J336" displayName="Table_26" name="Table_26" id="2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B339:J350" displayName="Table_27" name="Table_27" id="2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B353:J364" displayName="Table_28" name="Table_28" id="2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B367:J378" displayName="Table_29" name="Table_29" id="2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B381:J392" displayName="Table_30" name="Table_30" id="3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B395:J406" displayName="Table_31" name="Table_31" id="3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B409:J420" displayName="Table_32" name="Table_32" id="3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B423:J434" displayName="Table_33" name="Table_33" id="3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B437:J448" displayName="Table_34" name="Table_34" id="3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B451:J462" displayName="Table_35" name="Table_35" id="3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B465:J476" displayName="Table_36" name="Table_36" id="3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B479:J490" displayName="Table_37" name="Table_37" id="3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B493:J504" displayName="Table_38" name="Table_38" id="3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B507:J518" displayName="Table_39" name="Table_39" id="3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B521:J532" displayName="Table_40" name="Table_40" id="4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B535:J546" displayName="Table_41" name="Table_41" id="4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B549:J560" displayName="Table_42" name="Table_42" id="4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B563:J574" displayName="Table_43" name="Table_43" id="4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B577:J588" displayName="Table_44" name="Table_44" id="4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B591:J602" displayName="Table_45" name="Table_45" id="4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B605:J616" displayName="Table_46" name="Table_46" id="4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B619:J630" displayName="Table_47" name="Table_47" id="4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B633:J644" displayName="Table_48" name="Table_48" id="4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B647:J658" displayName="Table_49" name="Table_49" id="4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B661:J672" displayName="Table_50" name="Table_50" id="5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B675:J686" displayName="Table_51" name="Table_51" id="5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B689:J700" displayName="Table_52" name="Table_52" id="5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B703:J714" displayName="Table_53" name="Table_53" id="5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B717:J728" displayName="Table_54" name="Table_54" id="5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B731:J742" displayName="Table_55" name="Table_55" id="5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B745:J756" displayName="Table_56" name="Table_56" id="5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B759:J770" displayName="Table_57" name="Table_57" id="5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B773:J784" displayName="Table_58" name="Table_58" id="5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B787:J798" displayName="Table_59" name="Table_59" id="5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B801:J812" displayName="Table_60" name="Table_60" id="6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B815:J826" displayName="Table_61" name="Table_61" id="6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B829:J840" displayName="Table_62" name="Table_62" id="6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B843:J854" displayName="Table_63" name="Table_63" id="6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B857:J868" displayName="Table_64" name="Table_64" id="6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64" showColumnStripes="0" showFirstColumn="1" showLastColumn="1" showRowStripes="1"/>
</table>
</file>

<file path=xl/tables/table65.xml><?xml version="1.0" encoding="utf-8"?>
<table xmlns="http://schemas.openxmlformats.org/spreadsheetml/2006/main" headerRowCount="0" ref="B871:J882" displayName="Table_65" name="Table_65" id="6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65" showColumnStripes="0" showFirstColumn="1" showLastColumn="1" showRowStripes="1"/>
</table>
</file>

<file path=xl/tables/table66.xml><?xml version="1.0" encoding="utf-8"?>
<table xmlns="http://schemas.openxmlformats.org/spreadsheetml/2006/main" headerRowCount="0" ref="B885:J896" displayName="Table_66" name="Table_66" id="6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66" showColumnStripes="0" showFirstColumn="1" showLastColumn="1" showRowStripes="1"/>
</table>
</file>

<file path=xl/tables/table67.xml><?xml version="1.0" encoding="utf-8"?>
<table xmlns="http://schemas.openxmlformats.org/spreadsheetml/2006/main" headerRowCount="0" ref="B899:J910" displayName="Table_67" name="Table_67" id="6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67" showColumnStripes="0" showFirstColumn="1" showLastColumn="1" showRowStripes="1"/>
</table>
</file>

<file path=xl/tables/table68.xml><?xml version="1.0" encoding="utf-8"?>
<table xmlns="http://schemas.openxmlformats.org/spreadsheetml/2006/main" headerRowCount="0" ref="B913:J924" displayName="Table_68" name="Table_68" id="6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68" showColumnStripes="0" showFirstColumn="1" showLastColumn="1" showRowStripes="1"/>
</table>
</file>

<file path=xl/tables/table69.xml><?xml version="1.0" encoding="utf-8"?>
<table xmlns="http://schemas.openxmlformats.org/spreadsheetml/2006/main" headerRowCount="0" ref="B927:J938" displayName="Table_69" name="Table_69" id="6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69" showColumnStripes="0" showFirstColumn="1" showLastColumn="1" showRowStripes="1"/>
</table>
</file>

<file path=xl/tables/table70.xml><?xml version="1.0" encoding="utf-8"?>
<table xmlns="http://schemas.openxmlformats.org/spreadsheetml/2006/main" headerRowCount="0" ref="B941:J952" displayName="Table_70" name="Table_70" id="7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70" showColumnStripes="0" showFirstColumn="1" showLastColumn="1" showRowStripes="1"/>
</table>
</file>

<file path=xl/tables/table71.xml><?xml version="1.0" encoding="utf-8"?>
<table xmlns="http://schemas.openxmlformats.org/spreadsheetml/2006/main" headerRowCount="0" ref="B955:J966" displayName="Table_71" name="Table_71" id="7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71" showColumnStripes="0" showFirstColumn="1" showLastColumn="1" showRowStripes="1"/>
</table>
</file>

<file path=xl/tables/table72.xml><?xml version="1.0" encoding="utf-8"?>
<table xmlns="http://schemas.openxmlformats.org/spreadsheetml/2006/main" headerRowCount="0" ref="B969:J980" displayName="Table_72" name="Table_72" id="7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72" showColumnStripes="0" showFirstColumn="1" showLastColumn="1" showRowStripes="1"/>
</table>
</file>

<file path=xl/tables/table73.xml><?xml version="1.0" encoding="utf-8"?>
<table xmlns="http://schemas.openxmlformats.org/spreadsheetml/2006/main" headerRowCount="0" ref="B983:J994" displayName="Table_73" name="Table_73" id="7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73" showColumnStripes="0" showFirstColumn="1" showLastColumn="1" showRowStripes="1"/>
</table>
</file>

<file path=xl/tables/table74.xml><?xml version="1.0" encoding="utf-8"?>
<table xmlns="http://schemas.openxmlformats.org/spreadsheetml/2006/main" headerRowCount="0" ref="B997:J1008" displayName="Table_74" name="Table_74" id="7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74" showColumnStripes="0" showFirstColumn="1" showLastColumn="1" showRowStripes="1"/>
</table>
</file>

<file path=xl/tables/table75.xml><?xml version="1.0" encoding="utf-8"?>
<table xmlns="http://schemas.openxmlformats.org/spreadsheetml/2006/main" headerRowCount="0" ref="B1011:J1022" displayName="Table_75" name="Table_75" id="7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75" showColumnStripes="0" showFirstColumn="1" showLastColumn="1" showRowStripes="1"/>
</table>
</file>

<file path=xl/tables/table76.xml><?xml version="1.0" encoding="utf-8"?>
<table xmlns="http://schemas.openxmlformats.org/spreadsheetml/2006/main" headerRowCount="0" ref="B1025:J1036" displayName="Table_76" name="Table_76" id="7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76" showColumnStripes="0" showFirstColumn="1" showLastColumn="1" showRowStripes="1"/>
</table>
</file>

<file path=xl/tables/table77.xml><?xml version="1.0" encoding="utf-8"?>
<table xmlns="http://schemas.openxmlformats.org/spreadsheetml/2006/main" headerRowCount="0" ref="B1039:J1050" displayName="Table_77" name="Table_77" id="7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77" showColumnStripes="0" showFirstColumn="1" showLastColumn="1" showRowStripes="1"/>
</table>
</file>

<file path=xl/tables/table78.xml><?xml version="1.0" encoding="utf-8"?>
<table xmlns="http://schemas.openxmlformats.org/spreadsheetml/2006/main" headerRowCount="0" ref="B1053:J1064" displayName="Table_78" name="Table_78" id="7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78" showColumnStripes="0" showFirstColumn="1" showLastColumn="1" showRowStripes="1"/>
</table>
</file>

<file path=xl/tables/table79.xml><?xml version="1.0" encoding="utf-8"?>
<table xmlns="http://schemas.openxmlformats.org/spreadsheetml/2006/main" headerRowCount="0" ref="B1067:J1078" displayName="Table_79" name="Table_79" id="7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79" showColumnStripes="0" showFirstColumn="1" showLastColumn="1" showRowStripes="1"/>
</table>
</file>

<file path=xl/tables/table80.xml><?xml version="1.0" encoding="utf-8"?>
<table xmlns="http://schemas.openxmlformats.org/spreadsheetml/2006/main" headerRowCount="0" ref="B1081:J1092" displayName="Table_80" name="Table_80" id="8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80" showColumnStripes="0" showFirstColumn="1" showLastColumn="1" showRowStripes="1"/>
</table>
</file>

<file path=xl/tables/table81.xml><?xml version="1.0" encoding="utf-8"?>
<table xmlns="http://schemas.openxmlformats.org/spreadsheetml/2006/main" headerRowCount="0" ref="B1095:J1106" displayName="Table_81" name="Table_81" id="8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81" showColumnStripes="0" showFirstColumn="1" showLastColumn="1" showRowStripes="1"/>
</table>
</file>

<file path=xl/tables/table82.xml><?xml version="1.0" encoding="utf-8"?>
<table xmlns="http://schemas.openxmlformats.org/spreadsheetml/2006/main" headerRowCount="0" ref="B1109:J1120" displayName="Table_82" name="Table_82" id="8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82" showColumnStripes="0" showFirstColumn="1" showLastColumn="1" showRowStripes="1"/>
</table>
</file>

<file path=xl/tables/table83.xml><?xml version="1.0" encoding="utf-8"?>
<table xmlns="http://schemas.openxmlformats.org/spreadsheetml/2006/main" headerRowCount="0" ref="B1123:J1134" displayName="Table_83" name="Table_83" id="8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83" showColumnStripes="0" showFirstColumn="1" showLastColumn="1" showRowStripes="1"/>
</table>
</file>

<file path=xl/tables/table84.xml><?xml version="1.0" encoding="utf-8"?>
<table xmlns="http://schemas.openxmlformats.org/spreadsheetml/2006/main" headerRowCount="0" ref="B1137:J1148" displayName="Table_84" name="Table_84" id="8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84" showColumnStripes="0" showFirstColumn="1" showLastColumn="1" showRowStripes="1"/>
</table>
</file>

<file path=xl/tables/table85.xml><?xml version="1.0" encoding="utf-8"?>
<table xmlns="http://schemas.openxmlformats.org/spreadsheetml/2006/main" headerRowCount="0" ref="K1137:O1139" displayName="Table_85" name="Table_85" id="85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85" showColumnStripes="0" showFirstColumn="1" showLastColumn="1" showRowStripes="1"/>
</table>
</file>

<file path=xl/tables/table86.xml><?xml version="1.0" encoding="utf-8"?>
<table xmlns="http://schemas.openxmlformats.org/spreadsheetml/2006/main" headerRowCount="0" ref="B1151:J1162" displayName="Table_86" name="Table_86" id="8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86" showColumnStripes="0" showFirstColumn="1" showLastColumn="1" showRowStripes="1"/>
</table>
</file>

<file path=xl/tables/table87.xml><?xml version="1.0" encoding="utf-8"?>
<table xmlns="http://schemas.openxmlformats.org/spreadsheetml/2006/main" headerRowCount="0" ref="B1165:J1176" displayName="Table_87" name="Table_87" id="8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87" showColumnStripes="0" showFirstColumn="1" showLastColumn="1" showRowStripes="1"/>
</table>
</file>

<file path=xl/tables/table88.xml><?xml version="1.0" encoding="utf-8"?>
<table xmlns="http://schemas.openxmlformats.org/spreadsheetml/2006/main" headerRowCount="0" ref="B1179:J1190" displayName="Table_88" name="Table_88" id="8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88" showColumnStripes="0" showFirstColumn="1" showLastColumn="1" showRowStripes="1"/>
</table>
</file>

<file path=xl/tables/table89.xml><?xml version="1.0" encoding="utf-8"?>
<table xmlns="http://schemas.openxmlformats.org/spreadsheetml/2006/main" headerRowCount="0" ref="B1193:J1204" displayName="Table_89" name="Table_89" id="8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89" showColumnStripes="0" showFirstColumn="1" showLastColumn="1" showRowStripes="1"/>
</table>
</file>

<file path=xl/tables/table90.xml><?xml version="1.0" encoding="utf-8"?>
<table xmlns="http://schemas.openxmlformats.org/spreadsheetml/2006/main" headerRowCount="0" ref="B1207:J1218" displayName="Table_90" name="Table_90" id="9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90" showColumnStripes="0" showFirstColumn="1" showLastColumn="1" showRowStripes="1"/>
</table>
</file>

<file path=xl/tables/table91.xml><?xml version="1.0" encoding="utf-8"?>
<table xmlns="http://schemas.openxmlformats.org/spreadsheetml/2006/main" headerRowCount="0" ref="B1221:J1232" displayName="Table_91" name="Table_91" id="9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91" showColumnStripes="0" showFirstColumn="1" showLastColumn="1" showRowStripes="1"/>
</table>
</file>

<file path=xl/tables/table92.xml><?xml version="1.0" encoding="utf-8"?>
<table xmlns="http://schemas.openxmlformats.org/spreadsheetml/2006/main" headerRowCount="0" ref="B1235:J1246" displayName="Table_92" name="Table_92" id="9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92" showColumnStripes="0" showFirstColumn="1" showLastColumn="1" showRowStripes="1"/>
</table>
</file>

<file path=xl/tables/table93.xml><?xml version="1.0" encoding="utf-8"?>
<table xmlns="http://schemas.openxmlformats.org/spreadsheetml/2006/main" headerRowCount="0" ref="B1249:J1260" displayName="Table_93" name="Table_93" id="9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93" showColumnStripes="0" showFirstColumn="1" showLastColumn="1" showRowStripes="1"/>
</table>
</file>

<file path=xl/tables/table94.xml><?xml version="1.0" encoding="utf-8"?>
<table xmlns="http://schemas.openxmlformats.org/spreadsheetml/2006/main" headerRowCount="0" ref="B1263:J1274" displayName="Table_94" name="Table_94" id="9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94" showColumnStripes="0" showFirstColumn="1" showLastColumn="1" showRowStripes="1"/>
</table>
</file>

<file path=xl/tables/table95.xml><?xml version="1.0" encoding="utf-8"?>
<table xmlns="http://schemas.openxmlformats.org/spreadsheetml/2006/main" headerRowCount="0" ref="B1277:J1288" displayName="Table_95" name="Table_95" id="9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95" showColumnStripes="0" showFirstColumn="1" showLastColumn="1" showRowStripes="1"/>
</table>
</file>

<file path=xl/tables/table96.xml><?xml version="1.0" encoding="utf-8"?>
<table xmlns="http://schemas.openxmlformats.org/spreadsheetml/2006/main" headerRowCount="0" ref="B1291:J1302" displayName="Table_96" name="Table_96" id="9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96" showColumnStripes="0" showFirstColumn="1" showLastColumn="1" showRowStripes="1"/>
</table>
</file>

<file path=xl/tables/table97.xml><?xml version="1.0" encoding="utf-8"?>
<table xmlns="http://schemas.openxmlformats.org/spreadsheetml/2006/main" headerRowCount="0" ref="B1305:J1316" displayName="Table_97" name="Table_97" id="9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97" showColumnStripes="0" showFirstColumn="1" showLastColumn="1" showRowStripes="1"/>
</table>
</file>

<file path=xl/tables/table98.xml><?xml version="1.0" encoding="utf-8"?>
<table xmlns="http://schemas.openxmlformats.org/spreadsheetml/2006/main" headerRowCount="0" ref="B1319:J1330" displayName="Table_98" name="Table_98" id="9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98" showColumnStripes="0" showFirstColumn="1" showLastColumn="1" showRowStripes="1"/>
</table>
</file>

<file path=xl/tables/table99.xml><?xml version="1.0" encoding="utf-8"?>
<table xmlns="http://schemas.openxmlformats.org/spreadsheetml/2006/main" headerRowCount="0" ref="B1333:J1344" displayName="Table_99" name="Table_99" id="9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99" showColumnStripes="0" showFirstColumn="1" showLastColumn="1" showRowStripes="1"/>
</table>
</file>

<file path=xl/tables/table100.xml><?xml version="1.0" encoding="utf-8"?>
<table xmlns="http://schemas.openxmlformats.org/spreadsheetml/2006/main" headerRowCount="0" ref="B1347:J1358" displayName="Table_100" name="Table_100" id="10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00" showColumnStripes="0" showFirstColumn="1" showLastColumn="1" showRowStripes="1"/>
</table>
</file>

<file path=xl/tables/table101.xml><?xml version="1.0" encoding="utf-8"?>
<table xmlns="http://schemas.openxmlformats.org/spreadsheetml/2006/main" headerRowCount="0" ref="B1361:J1372" displayName="Table_101" name="Table_101" id="10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01" showColumnStripes="0" showFirstColumn="1" showLastColumn="1" showRowStripes="1"/>
</table>
</file>

<file path=xl/tables/table102.xml><?xml version="1.0" encoding="utf-8"?>
<table xmlns="http://schemas.openxmlformats.org/spreadsheetml/2006/main" headerRowCount="0" ref="B1375:J1386" displayName="Table_102" name="Table_102" id="10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02" showColumnStripes="0" showFirstColumn="1" showLastColumn="1" showRowStripes="1"/>
</table>
</file>

<file path=xl/tables/table103.xml><?xml version="1.0" encoding="utf-8"?>
<table xmlns="http://schemas.openxmlformats.org/spreadsheetml/2006/main" headerRowCount="0" ref="B1389:J1400" displayName="Table_103" name="Table_103" id="10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03" showColumnStripes="0" showFirstColumn="1" showLastColumn="1" showRowStripes="1"/>
</table>
</file>

<file path=xl/tables/table104.xml><?xml version="1.0" encoding="utf-8"?>
<table xmlns="http://schemas.openxmlformats.org/spreadsheetml/2006/main" headerRowCount="0" ref="B1403:J1414" displayName="Table_104" name="Table_104" id="10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04" showColumnStripes="0" showFirstColumn="1" showLastColumn="1" showRowStripes="1"/>
</table>
</file>

<file path=xl/tables/table105.xml><?xml version="1.0" encoding="utf-8"?>
<table xmlns="http://schemas.openxmlformats.org/spreadsheetml/2006/main" headerRowCount="0" ref="B1417:J1428" displayName="Table_105" name="Table_105" id="10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05" showColumnStripes="0" showFirstColumn="1" showLastColumn="1" showRowStripes="1"/>
</table>
</file>

<file path=xl/tables/table106.xml><?xml version="1.0" encoding="utf-8"?>
<table xmlns="http://schemas.openxmlformats.org/spreadsheetml/2006/main" headerRowCount="0" ref="B1431:J1442" displayName="Table_106" name="Table_106" id="10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06" showColumnStripes="0" showFirstColumn="1" showLastColumn="1" showRowStripes="1"/>
</table>
</file>

<file path=xl/tables/table107.xml><?xml version="1.0" encoding="utf-8"?>
<table xmlns="http://schemas.openxmlformats.org/spreadsheetml/2006/main" headerRowCount="0" ref="B1445:J1456" displayName="Table_107" name="Table_107" id="10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 10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table" Target="../tables/table82.xml"/><Relationship Id="rId194" Type="http://schemas.openxmlformats.org/officeDocument/2006/relationships/table" Target="../tables/table86.xml"/><Relationship Id="rId193" Type="http://schemas.openxmlformats.org/officeDocument/2006/relationships/table" Target="../tables/table85.xml"/><Relationship Id="rId192" Type="http://schemas.openxmlformats.org/officeDocument/2006/relationships/table" Target="../tables/table84.xml"/><Relationship Id="rId191" Type="http://schemas.openxmlformats.org/officeDocument/2006/relationships/table" Target="../tables/table83.xml"/><Relationship Id="rId109" Type="http://schemas.openxmlformats.org/officeDocument/2006/relationships/table" Target="../tables/table1.xml"/><Relationship Id="rId187" Type="http://schemas.openxmlformats.org/officeDocument/2006/relationships/table" Target="../tables/table79.xml"/><Relationship Id="rId186" Type="http://schemas.openxmlformats.org/officeDocument/2006/relationships/table" Target="../tables/table78.xml"/><Relationship Id="rId185" Type="http://schemas.openxmlformats.org/officeDocument/2006/relationships/table" Target="../tables/table77.xml"/><Relationship Id="rId184" Type="http://schemas.openxmlformats.org/officeDocument/2006/relationships/table" Target="../tables/table76.xml"/><Relationship Id="rId189" Type="http://schemas.openxmlformats.org/officeDocument/2006/relationships/table" Target="../tables/table81.xml"/><Relationship Id="rId188" Type="http://schemas.openxmlformats.org/officeDocument/2006/relationships/table" Target="../tables/table80.xml"/><Relationship Id="rId183" Type="http://schemas.openxmlformats.org/officeDocument/2006/relationships/table" Target="../tables/table75.xml"/><Relationship Id="rId182" Type="http://schemas.openxmlformats.org/officeDocument/2006/relationships/table" Target="../tables/table74.xml"/><Relationship Id="rId181" Type="http://schemas.openxmlformats.org/officeDocument/2006/relationships/table" Target="../tables/table73.xml"/><Relationship Id="rId180" Type="http://schemas.openxmlformats.org/officeDocument/2006/relationships/table" Target="../tables/table72.xml"/><Relationship Id="rId215" Type="http://schemas.openxmlformats.org/officeDocument/2006/relationships/table" Target="../tables/table107.xml"/><Relationship Id="rId214" Type="http://schemas.openxmlformats.org/officeDocument/2006/relationships/table" Target="../tables/table106.xml"/><Relationship Id="rId176" Type="http://schemas.openxmlformats.org/officeDocument/2006/relationships/table" Target="../tables/table68.xml"/><Relationship Id="rId175" Type="http://schemas.openxmlformats.org/officeDocument/2006/relationships/table" Target="../tables/table67.xml"/><Relationship Id="rId174" Type="http://schemas.openxmlformats.org/officeDocument/2006/relationships/table" Target="../tables/table66.xml"/><Relationship Id="rId173" Type="http://schemas.openxmlformats.org/officeDocument/2006/relationships/table" Target="../tables/table65.xml"/><Relationship Id="rId213" Type="http://schemas.openxmlformats.org/officeDocument/2006/relationships/table" Target="../tables/table105.xml"/><Relationship Id="rId179" Type="http://schemas.openxmlformats.org/officeDocument/2006/relationships/table" Target="../tables/table71.xml"/><Relationship Id="rId212" Type="http://schemas.openxmlformats.org/officeDocument/2006/relationships/table" Target="../tables/table104.xml"/><Relationship Id="rId178" Type="http://schemas.openxmlformats.org/officeDocument/2006/relationships/table" Target="../tables/table70.xml"/><Relationship Id="rId211" Type="http://schemas.openxmlformats.org/officeDocument/2006/relationships/table" Target="../tables/table103.xml"/><Relationship Id="rId177" Type="http://schemas.openxmlformats.org/officeDocument/2006/relationships/table" Target="../tables/table69.xml"/><Relationship Id="rId210" Type="http://schemas.openxmlformats.org/officeDocument/2006/relationships/table" Target="../tables/table102.xml"/><Relationship Id="rId129" Type="http://schemas.openxmlformats.org/officeDocument/2006/relationships/table" Target="../tables/table21.xml"/><Relationship Id="rId128" Type="http://schemas.openxmlformats.org/officeDocument/2006/relationships/table" Target="../tables/table20.xml"/><Relationship Id="rId127" Type="http://schemas.openxmlformats.org/officeDocument/2006/relationships/table" Target="../tables/table19.xml"/><Relationship Id="rId126" Type="http://schemas.openxmlformats.org/officeDocument/2006/relationships/table" Target="../tables/table18.xml"/><Relationship Id="rId121" Type="http://schemas.openxmlformats.org/officeDocument/2006/relationships/table" Target="../tables/table13.xml"/><Relationship Id="rId120" Type="http://schemas.openxmlformats.org/officeDocument/2006/relationships/table" Target="../tables/table12.xml"/><Relationship Id="rId125" Type="http://schemas.openxmlformats.org/officeDocument/2006/relationships/table" Target="../tables/table17.xml"/><Relationship Id="rId124" Type="http://schemas.openxmlformats.org/officeDocument/2006/relationships/table" Target="../tables/table16.xml"/><Relationship Id="rId123" Type="http://schemas.openxmlformats.org/officeDocument/2006/relationships/table" Target="../tables/table15.xml"/><Relationship Id="rId122" Type="http://schemas.openxmlformats.org/officeDocument/2006/relationships/table" Target="../tables/table14.xml"/><Relationship Id="rId118" Type="http://schemas.openxmlformats.org/officeDocument/2006/relationships/table" Target="../tables/table10.xml"/><Relationship Id="rId117" Type="http://schemas.openxmlformats.org/officeDocument/2006/relationships/table" Target="../tables/table9.xml"/><Relationship Id="rId116" Type="http://schemas.openxmlformats.org/officeDocument/2006/relationships/table" Target="../tables/table8.xml"/><Relationship Id="rId115" Type="http://schemas.openxmlformats.org/officeDocument/2006/relationships/table" Target="../tables/table7.xml"/><Relationship Id="rId119" Type="http://schemas.openxmlformats.org/officeDocument/2006/relationships/table" Target="../tables/table11.xml"/><Relationship Id="rId110" Type="http://schemas.openxmlformats.org/officeDocument/2006/relationships/table" Target="../tables/table2.xml"/><Relationship Id="rId198" Type="http://schemas.openxmlformats.org/officeDocument/2006/relationships/table" Target="../tables/table90.xml"/><Relationship Id="rId197" Type="http://schemas.openxmlformats.org/officeDocument/2006/relationships/table" Target="../tables/table89.xml"/><Relationship Id="rId196" Type="http://schemas.openxmlformats.org/officeDocument/2006/relationships/table" Target="../tables/table88.xml"/><Relationship Id="rId195" Type="http://schemas.openxmlformats.org/officeDocument/2006/relationships/table" Target="../tables/table87.xml"/><Relationship Id="rId114" Type="http://schemas.openxmlformats.org/officeDocument/2006/relationships/table" Target="../tables/table6.xml"/><Relationship Id="rId113" Type="http://schemas.openxmlformats.org/officeDocument/2006/relationships/table" Target="../tables/table5.xml"/><Relationship Id="rId112" Type="http://schemas.openxmlformats.org/officeDocument/2006/relationships/table" Target="../tables/table4.xml"/><Relationship Id="rId111" Type="http://schemas.openxmlformats.org/officeDocument/2006/relationships/table" Target="../tables/table3.xml"/><Relationship Id="rId199" Type="http://schemas.openxmlformats.org/officeDocument/2006/relationships/table" Target="../tables/table91.xml"/><Relationship Id="rId150" Type="http://schemas.openxmlformats.org/officeDocument/2006/relationships/table" Target="../tables/table42.xml"/><Relationship Id="rId1" Type="http://schemas.openxmlformats.org/officeDocument/2006/relationships/drawing" Target="../drawings/drawing1.xml"/><Relationship Id="rId149" Type="http://schemas.openxmlformats.org/officeDocument/2006/relationships/table" Target="../tables/table41.xml"/><Relationship Id="rId148" Type="http://schemas.openxmlformats.org/officeDocument/2006/relationships/table" Target="../tables/table40.xml"/><Relationship Id="rId143" Type="http://schemas.openxmlformats.org/officeDocument/2006/relationships/table" Target="../tables/table35.xml"/><Relationship Id="rId142" Type="http://schemas.openxmlformats.org/officeDocument/2006/relationships/table" Target="../tables/table34.xml"/><Relationship Id="rId141" Type="http://schemas.openxmlformats.org/officeDocument/2006/relationships/table" Target="../tables/table33.xml"/><Relationship Id="rId140" Type="http://schemas.openxmlformats.org/officeDocument/2006/relationships/table" Target="../tables/table32.xml"/><Relationship Id="rId147" Type="http://schemas.openxmlformats.org/officeDocument/2006/relationships/table" Target="../tables/table39.xml"/><Relationship Id="rId146" Type="http://schemas.openxmlformats.org/officeDocument/2006/relationships/table" Target="../tables/table38.xml"/><Relationship Id="rId145" Type="http://schemas.openxmlformats.org/officeDocument/2006/relationships/table" Target="../tables/table37.xml"/><Relationship Id="rId144" Type="http://schemas.openxmlformats.org/officeDocument/2006/relationships/table" Target="../tables/table36.xml"/><Relationship Id="rId139" Type="http://schemas.openxmlformats.org/officeDocument/2006/relationships/table" Target="../tables/table31.xml"/><Relationship Id="rId138" Type="http://schemas.openxmlformats.org/officeDocument/2006/relationships/table" Target="../tables/table30.xml"/><Relationship Id="rId137" Type="http://schemas.openxmlformats.org/officeDocument/2006/relationships/table" Target="../tables/table29.xml"/><Relationship Id="rId132" Type="http://schemas.openxmlformats.org/officeDocument/2006/relationships/table" Target="../tables/table24.xml"/><Relationship Id="rId131" Type="http://schemas.openxmlformats.org/officeDocument/2006/relationships/table" Target="../tables/table23.xml"/><Relationship Id="rId130" Type="http://schemas.openxmlformats.org/officeDocument/2006/relationships/table" Target="../tables/table22.xml"/><Relationship Id="rId136" Type="http://schemas.openxmlformats.org/officeDocument/2006/relationships/table" Target="../tables/table28.xml"/><Relationship Id="rId135" Type="http://schemas.openxmlformats.org/officeDocument/2006/relationships/table" Target="../tables/table27.xml"/><Relationship Id="rId134" Type="http://schemas.openxmlformats.org/officeDocument/2006/relationships/table" Target="../tables/table26.xml"/><Relationship Id="rId133" Type="http://schemas.openxmlformats.org/officeDocument/2006/relationships/table" Target="../tables/table25.xml"/><Relationship Id="rId172" Type="http://schemas.openxmlformats.org/officeDocument/2006/relationships/table" Target="../tables/table64.xml"/><Relationship Id="rId171" Type="http://schemas.openxmlformats.org/officeDocument/2006/relationships/table" Target="../tables/table63.xml"/><Relationship Id="rId170" Type="http://schemas.openxmlformats.org/officeDocument/2006/relationships/table" Target="../tables/table62.xml"/><Relationship Id="rId206" Type="http://schemas.openxmlformats.org/officeDocument/2006/relationships/table" Target="../tables/table98.xml"/><Relationship Id="rId205" Type="http://schemas.openxmlformats.org/officeDocument/2006/relationships/table" Target="../tables/table97.xml"/><Relationship Id="rId204" Type="http://schemas.openxmlformats.org/officeDocument/2006/relationships/table" Target="../tables/table96.xml"/><Relationship Id="rId203" Type="http://schemas.openxmlformats.org/officeDocument/2006/relationships/table" Target="../tables/table95.xml"/><Relationship Id="rId209" Type="http://schemas.openxmlformats.org/officeDocument/2006/relationships/table" Target="../tables/table101.xml"/><Relationship Id="rId208" Type="http://schemas.openxmlformats.org/officeDocument/2006/relationships/table" Target="../tables/table100.xml"/><Relationship Id="rId207" Type="http://schemas.openxmlformats.org/officeDocument/2006/relationships/table" Target="../tables/table99.xml"/><Relationship Id="rId165" Type="http://schemas.openxmlformats.org/officeDocument/2006/relationships/table" Target="../tables/table57.xml"/><Relationship Id="rId164" Type="http://schemas.openxmlformats.org/officeDocument/2006/relationships/table" Target="../tables/table56.xml"/><Relationship Id="rId163" Type="http://schemas.openxmlformats.org/officeDocument/2006/relationships/table" Target="../tables/table55.xml"/><Relationship Id="rId162" Type="http://schemas.openxmlformats.org/officeDocument/2006/relationships/table" Target="../tables/table54.xml"/><Relationship Id="rId169" Type="http://schemas.openxmlformats.org/officeDocument/2006/relationships/table" Target="../tables/table61.xml"/><Relationship Id="rId202" Type="http://schemas.openxmlformats.org/officeDocument/2006/relationships/table" Target="../tables/table94.xml"/><Relationship Id="rId168" Type="http://schemas.openxmlformats.org/officeDocument/2006/relationships/table" Target="../tables/table60.xml"/><Relationship Id="rId201" Type="http://schemas.openxmlformats.org/officeDocument/2006/relationships/table" Target="../tables/table93.xml"/><Relationship Id="rId167" Type="http://schemas.openxmlformats.org/officeDocument/2006/relationships/table" Target="../tables/table59.xml"/><Relationship Id="rId200" Type="http://schemas.openxmlformats.org/officeDocument/2006/relationships/table" Target="../tables/table92.xml"/><Relationship Id="rId166" Type="http://schemas.openxmlformats.org/officeDocument/2006/relationships/table" Target="../tables/table58.xml"/><Relationship Id="rId161" Type="http://schemas.openxmlformats.org/officeDocument/2006/relationships/table" Target="../tables/table53.xml"/><Relationship Id="rId160" Type="http://schemas.openxmlformats.org/officeDocument/2006/relationships/table" Target="../tables/table52.xml"/><Relationship Id="rId159" Type="http://schemas.openxmlformats.org/officeDocument/2006/relationships/table" Target="../tables/table51.xml"/><Relationship Id="rId154" Type="http://schemas.openxmlformats.org/officeDocument/2006/relationships/table" Target="../tables/table46.xml"/><Relationship Id="rId153" Type="http://schemas.openxmlformats.org/officeDocument/2006/relationships/table" Target="../tables/table45.xml"/><Relationship Id="rId152" Type="http://schemas.openxmlformats.org/officeDocument/2006/relationships/table" Target="../tables/table44.xml"/><Relationship Id="rId151" Type="http://schemas.openxmlformats.org/officeDocument/2006/relationships/table" Target="../tables/table43.xml"/><Relationship Id="rId158" Type="http://schemas.openxmlformats.org/officeDocument/2006/relationships/table" Target="../tables/table50.xml"/><Relationship Id="rId157" Type="http://schemas.openxmlformats.org/officeDocument/2006/relationships/table" Target="../tables/table49.xml"/><Relationship Id="rId156" Type="http://schemas.openxmlformats.org/officeDocument/2006/relationships/table" Target="../tables/table48.xml"/><Relationship Id="rId155" Type="http://schemas.openxmlformats.org/officeDocument/2006/relationships/table" Target="../tables/table4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7.13"/>
    <col customWidth="1" min="3" max="3" width="10.75"/>
    <col customWidth="1" min="4" max="4" width="9.75"/>
    <col customWidth="1" min="5" max="5" width="11.13"/>
    <col customWidth="1" min="6" max="6" width="5.88"/>
    <col customWidth="1" min="7" max="7" width="6.75"/>
    <col customWidth="1" min="8" max="8" width="6.88"/>
    <col customWidth="1" min="9" max="9" width="6.13"/>
    <col customWidth="1" min="10" max="10" width="11.75"/>
    <col customWidth="1" min="11" max="11" width="8.88"/>
    <col customWidth="1" min="12" max="12" width="8.75"/>
    <col customWidth="1" min="13" max="13" width="23.5"/>
    <col customWidth="1" min="14" max="14" width="22.0"/>
    <col customWidth="1" min="16" max="16" width="17.13"/>
  </cols>
  <sheetData>
    <row r="1" ht="16.5" customHeight="1">
      <c r="A1" s="1"/>
      <c r="C1" s="1"/>
      <c r="E1" s="1"/>
      <c r="F1" s="1"/>
    </row>
    <row r="2">
      <c r="A2" s="1"/>
      <c r="B2" s="1" t="s">
        <v>0</v>
      </c>
      <c r="C2" s="1" t="s">
        <v>1</v>
      </c>
      <c r="D2" s="1" t="s">
        <v>2</v>
      </c>
      <c r="E2" s="1" t="str">
        <f>"Game on " &amp; MATCH(MAX(I4:I13), I4:I13, 0) + ROW(I4) - 1 &amp; ". row"
</f>
        <v>Game on 10. row</v>
      </c>
      <c r="F2" s="1"/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M3" s="2" t="s">
        <v>12</v>
      </c>
      <c r="N3" s="2" t="s">
        <v>13</v>
      </c>
      <c r="P3" s="2" t="s">
        <v>14</v>
      </c>
    </row>
    <row r="4">
      <c r="A4" s="1">
        <v>1.0</v>
      </c>
      <c r="B4" s="1">
        <v>3.0</v>
      </c>
      <c r="C4" s="3">
        <v>721.0</v>
      </c>
      <c r="D4" s="1">
        <v>0.0</v>
      </c>
      <c r="E4" s="3">
        <v>113.0</v>
      </c>
      <c r="F4" s="4">
        <v>3.0</v>
      </c>
      <c r="G4" s="5">
        <f t="shared" ref="G4:G13" si="1">(B4*0.5 + C4/100*0.2 + (51 - F4)/5*0.3)/10</f>
        <v>0.5822</v>
      </c>
      <c r="H4" s="5">
        <f t="shared" ref="H4:H13" si="2">(D4*0.5 + E4/100*0.2 + (51 - F4)/5*0.3)/10</f>
        <v>0.3106</v>
      </c>
      <c r="I4" s="5">
        <f t="shared" ref="I4:I13" si="3">AVERAGE(G4,H4)</f>
        <v>0.4464</v>
      </c>
      <c r="J4" s="1" t="s">
        <v>15</v>
      </c>
      <c r="M4" s="1">
        <v>1327.0</v>
      </c>
      <c r="N4" s="1">
        <v>671.0</v>
      </c>
      <c r="P4" s="6">
        <f>IFERROR(__xludf.DUMMYFUNCTION("MAX(FILTER(ROW(A:A), A:A&lt;&gt;""""))/14 * 10
"),1040.0)</f>
        <v>1040</v>
      </c>
    </row>
    <row r="5">
      <c r="A5" s="1">
        <v>2.0</v>
      </c>
      <c r="B5" s="1">
        <v>0.0</v>
      </c>
      <c r="C5" s="3">
        <v>30.0</v>
      </c>
      <c r="D5" s="1">
        <v>0.0</v>
      </c>
      <c r="E5" s="3">
        <v>28.0</v>
      </c>
      <c r="F5" s="1">
        <v>37.0</v>
      </c>
      <c r="G5" s="5">
        <f t="shared" si="1"/>
        <v>0.09</v>
      </c>
      <c r="H5" s="5">
        <f t="shared" si="2"/>
        <v>0.0896</v>
      </c>
      <c r="I5" s="5">
        <f t="shared" si="3"/>
        <v>0.0898</v>
      </c>
      <c r="J5" s="6">
        <f>B14/10</f>
        <v>2.1</v>
      </c>
      <c r="M5" s="2" t="s">
        <v>16</v>
      </c>
      <c r="N5" s="2" t="s">
        <v>17</v>
      </c>
      <c r="P5" s="2" t="s">
        <v>18</v>
      </c>
    </row>
    <row r="6">
      <c r="A6" s="1">
        <v>3.0</v>
      </c>
      <c r="B6" s="1">
        <v>2.0</v>
      </c>
      <c r="C6" s="3">
        <v>120.0</v>
      </c>
      <c r="D6" s="1">
        <v>1.0</v>
      </c>
      <c r="E6" s="3">
        <v>194.0</v>
      </c>
      <c r="F6" s="1">
        <v>5.0</v>
      </c>
      <c r="G6" s="5">
        <f t="shared" si="1"/>
        <v>0.4</v>
      </c>
      <c r="H6" s="5">
        <f t="shared" si="2"/>
        <v>0.3648</v>
      </c>
      <c r="I6" s="5">
        <f t="shared" si="3"/>
        <v>0.3824</v>
      </c>
      <c r="J6" s="1" t="s">
        <v>19</v>
      </c>
      <c r="M6" s="6">
        <f>max(B:B)</f>
        <v>29</v>
      </c>
      <c r="N6" s="6">
        <f>max(D:D)</f>
        <v>16</v>
      </c>
      <c r="P6" s="6">
        <f>COUNTIF(F:F, 1)</f>
        <v>24</v>
      </c>
    </row>
    <row r="7">
      <c r="A7" s="1">
        <v>4.0</v>
      </c>
      <c r="B7" s="1">
        <v>0.0</v>
      </c>
      <c r="C7" s="3">
        <v>236.0</v>
      </c>
      <c r="D7" s="1">
        <v>0.0</v>
      </c>
      <c r="E7" s="3">
        <v>196.0</v>
      </c>
      <c r="F7" s="1">
        <v>31.0</v>
      </c>
      <c r="G7" s="5">
        <f t="shared" si="1"/>
        <v>0.1672</v>
      </c>
      <c r="H7" s="5">
        <f t="shared" si="2"/>
        <v>0.1592</v>
      </c>
      <c r="I7" s="5">
        <f t="shared" si="3"/>
        <v>0.1632</v>
      </c>
      <c r="J7" s="6">
        <f>D14/10</f>
        <v>0.8</v>
      </c>
      <c r="M7" s="2" t="s">
        <v>20</v>
      </c>
      <c r="N7" s="2" t="s">
        <v>21</v>
      </c>
      <c r="P7" s="2" t="s">
        <v>22</v>
      </c>
    </row>
    <row r="8">
      <c r="A8" s="1">
        <v>5.0</v>
      </c>
      <c r="B8" s="1">
        <v>3.0</v>
      </c>
      <c r="C8" s="3">
        <v>502.0</v>
      </c>
      <c r="D8" s="1">
        <v>1.0</v>
      </c>
      <c r="E8" s="3">
        <v>31.0</v>
      </c>
      <c r="F8" s="1">
        <v>8.0</v>
      </c>
      <c r="G8" s="5">
        <f t="shared" si="1"/>
        <v>0.5084</v>
      </c>
      <c r="H8" s="5">
        <f t="shared" si="2"/>
        <v>0.3142</v>
      </c>
      <c r="I8" s="5">
        <f t="shared" si="3"/>
        <v>0.4113</v>
      </c>
      <c r="J8" s="7" t="s">
        <v>23</v>
      </c>
      <c r="M8" s="1">
        <f>IFERROR(__xludf.DUMMYFUNCTION("MAX(FILTER(B:B, MOD(ROW(B:B) - 4, 14) &lt; 10))"),9.0)</f>
        <v>9</v>
      </c>
      <c r="N8" s="1">
        <f>IFERROR(__xludf.DUMMYFUNCTION("MAX(FILTER(D:D, MOD(ROW(D:D) - 4, 14) &lt; 10))"),6.0)</f>
        <v>6</v>
      </c>
      <c r="P8" s="6">
        <f>COUNTIF(F:F, "&lt;=3")</f>
        <v>84</v>
      </c>
    </row>
    <row r="9">
      <c r="A9" s="1">
        <v>6.0</v>
      </c>
      <c r="B9" s="1">
        <v>0.0</v>
      </c>
      <c r="C9" s="3">
        <v>100.0</v>
      </c>
      <c r="D9" s="1">
        <v>0.0</v>
      </c>
      <c r="E9" s="3">
        <v>0.0</v>
      </c>
      <c r="F9" s="1">
        <v>26.0</v>
      </c>
      <c r="G9" s="5">
        <f t="shared" si="1"/>
        <v>0.17</v>
      </c>
      <c r="H9" s="5">
        <f t="shared" si="2"/>
        <v>0.15</v>
      </c>
      <c r="I9" s="5">
        <f t="shared" si="3"/>
        <v>0.16</v>
      </c>
      <c r="J9" s="8">
        <f>J5/J7</f>
        <v>2.625</v>
      </c>
      <c r="M9" s="2" t="s">
        <v>24</v>
      </c>
      <c r="N9" s="2" t="s">
        <v>25</v>
      </c>
      <c r="P9" s="2" t="s">
        <v>26</v>
      </c>
    </row>
    <row r="10">
      <c r="A10" s="1">
        <v>7.0</v>
      </c>
      <c r="B10" s="1">
        <v>7.0</v>
      </c>
      <c r="C10" s="3">
        <v>800.0</v>
      </c>
      <c r="D10" s="1">
        <v>4.0</v>
      </c>
      <c r="E10" s="3">
        <v>491.0</v>
      </c>
      <c r="F10" s="9">
        <v>1.0</v>
      </c>
      <c r="G10" s="5">
        <f t="shared" si="1"/>
        <v>0.81</v>
      </c>
      <c r="H10" s="5">
        <f t="shared" si="2"/>
        <v>0.5982</v>
      </c>
      <c r="I10" s="5">
        <f t="shared" si="3"/>
        <v>0.7041</v>
      </c>
      <c r="J10" s="10" t="s">
        <v>27</v>
      </c>
      <c r="M10" s="11">
        <f>IFERROR(__xludf.DUMMYFUNCTION("AVERAGE(FILTER(B:B, MOD(ROW(B:B) - 4, 14) &lt; 10))
"),1.2808880308880308)</f>
        <v>1.280888031</v>
      </c>
      <c r="N10" s="11">
        <f>IFERROR(__xludf.DUMMYFUNCTION("AVERAGE(FILTER(D:D, MOD(ROW(D:D) - 4, 14) &lt; 10))
"),0.6476833976833977)</f>
        <v>0.6476833977</v>
      </c>
      <c r="P10" s="12" t="str">
        <f>INT((P6/P4)*100) &amp; "%"
</f>
        <v>2%</v>
      </c>
    </row>
    <row r="11">
      <c r="A11" s="1">
        <v>8.0</v>
      </c>
      <c r="B11" s="1">
        <v>0.0</v>
      </c>
      <c r="C11" s="3">
        <v>75.0</v>
      </c>
      <c r="D11" s="1">
        <v>0.0</v>
      </c>
      <c r="E11" s="3">
        <v>299.0</v>
      </c>
      <c r="F11" s="1">
        <v>9.0</v>
      </c>
      <c r="G11" s="5">
        <f t="shared" si="1"/>
        <v>0.267</v>
      </c>
      <c r="H11" s="5">
        <f t="shared" si="2"/>
        <v>0.3118</v>
      </c>
      <c r="I11" s="5">
        <f t="shared" si="3"/>
        <v>0.2894</v>
      </c>
      <c r="J11" s="13">
        <f>J7/J5</f>
        <v>0.380952381</v>
      </c>
      <c r="M11" s="2" t="s">
        <v>28</v>
      </c>
      <c r="N11" s="2" t="s">
        <v>29</v>
      </c>
      <c r="P11" s="2" t="s">
        <v>30</v>
      </c>
    </row>
    <row r="12">
      <c r="A12" s="1">
        <v>9.0</v>
      </c>
      <c r="B12" s="1">
        <v>4.0</v>
      </c>
      <c r="C12" s="3">
        <v>495.0</v>
      </c>
      <c r="D12" s="1">
        <v>0.0</v>
      </c>
      <c r="E12" s="3">
        <v>85.0</v>
      </c>
      <c r="F12" s="1">
        <v>11.0</v>
      </c>
      <c r="G12" s="5">
        <f t="shared" si="1"/>
        <v>0.539</v>
      </c>
      <c r="H12" s="5">
        <f t="shared" si="2"/>
        <v>0.257</v>
      </c>
      <c r="I12" s="5">
        <f t="shared" si="3"/>
        <v>0.398</v>
      </c>
      <c r="M12" s="14" t="str">
        <f>IFERROR(__xludf.DUMMYFUNCTION("INT(AVERAGE(FILTER(C:C, MOD(ROW(C:C) - 4, 14) &lt; 10))) &amp; "", "" &amp; MEDIAN(FILTER(C:C, MOD(ROW(C:C) - 4, 14) &lt; 10))
"),"227, 170")</f>
        <v>227, 170</v>
      </c>
      <c r="N12" s="14" t="str">
        <f>IFERROR(__xludf.DUMMYFUNCTION("INT(AVERAGE(FILTER(E:E, MOD(ROW(E:E) - 4, 14) &lt; 10))) &amp; "", "" &amp; MEDIAN(FILTER(E:E, MOD(ROW(E:E) - 4, 14) &lt; 10))
"),"130, 100")</f>
        <v>130, 100</v>
      </c>
      <c r="P12" s="12" t="str">
        <f>INT((P8/P4)*100) &amp; "%"
</f>
        <v>8%</v>
      </c>
    </row>
    <row r="13">
      <c r="A13" s="1">
        <v>10.0</v>
      </c>
      <c r="B13" s="1">
        <v>2.0</v>
      </c>
      <c r="C13" s="3">
        <v>219.0</v>
      </c>
      <c r="D13" s="1">
        <v>2.0</v>
      </c>
      <c r="E13" s="3">
        <v>200.0</v>
      </c>
      <c r="F13" s="1">
        <v>5.0</v>
      </c>
      <c r="G13" s="5">
        <f t="shared" si="1"/>
        <v>0.4198</v>
      </c>
      <c r="H13" s="5">
        <f t="shared" si="2"/>
        <v>0.416</v>
      </c>
      <c r="I13" s="5">
        <f t="shared" si="3"/>
        <v>0.4179</v>
      </c>
      <c r="M13" s="2" t="s">
        <v>31</v>
      </c>
      <c r="N13" s="2" t="s">
        <v>32</v>
      </c>
    </row>
    <row r="14">
      <c r="A14" s="1" t="s">
        <v>33</v>
      </c>
      <c r="B14" s="15">
        <v>21.0</v>
      </c>
      <c r="C14" s="16">
        <f>AVERAGE(C4:C13)</f>
        <v>329.8</v>
      </c>
      <c r="D14" s="15">
        <v>8.0</v>
      </c>
      <c r="E14" s="16">
        <f t="shared" ref="E14:F14" si="4">AVERAGE(E4:E13)</f>
        <v>163.7</v>
      </c>
      <c r="F14" s="6">
        <f t="shared" si="4"/>
        <v>13.6</v>
      </c>
      <c r="G14" s="5">
        <f t="shared" ref="G14:I14" si="5">Average(G4:G13)</f>
        <v>0.39536</v>
      </c>
      <c r="H14" s="5">
        <f t="shared" si="5"/>
        <v>0.29714</v>
      </c>
      <c r="I14" s="5">
        <f t="shared" si="5"/>
        <v>0.34625</v>
      </c>
      <c r="M14" s="3">
        <f>IFERROR(__xludf.DUMMYFUNCTION("MAX(FILTER(C:C, MOD(ROW(C:C) - 4, 14) &lt; 10))"),1195.0)</f>
        <v>1195</v>
      </c>
      <c r="N14" s="3">
        <f>IFERROR(__xludf.DUMMYFUNCTION("MAX(FILTER(E:E, MOD(ROW(E:E) - 4, 14) &lt; 10))"),935.0)</f>
        <v>935</v>
      </c>
    </row>
    <row r="15">
      <c r="I15" s="5"/>
      <c r="M15" s="2" t="s">
        <v>34</v>
      </c>
      <c r="N15" s="2" t="s">
        <v>35</v>
      </c>
    </row>
    <row r="16">
      <c r="A16" s="1"/>
      <c r="B16" s="1" t="s">
        <v>0</v>
      </c>
      <c r="C16" s="1" t="s">
        <v>36</v>
      </c>
      <c r="D16" s="1" t="s">
        <v>2</v>
      </c>
      <c r="E16" s="1" t="str">
        <f>"Game on " &amp; MATCH(MAX(I18:I27), I18:I27, 0) + ROW(I18) - 1 &amp; ". row"
</f>
        <v>Game on 27. row</v>
      </c>
      <c r="F16" s="1"/>
      <c r="I16" s="5"/>
      <c r="M16" s="6" t="str">
        <f>IFERROR(__xludf.DUMMYFUNCTION("""Max: "" &amp; MAX(FILTER(C:C / B:B, B:B&lt;&gt;0, MOD(ROW(B:B) - 4, 14) &lt; 10))
"),"Max: 609")</f>
        <v>Max: 609</v>
      </c>
      <c r="N16" s="6" t="str">
        <f>IFERROR(__xludf.DUMMYFUNCTION("""Max: "" &amp; MAX(FILTER(E:E / D:D, D:D&lt;&gt;0, MOD(ROW(D:D) - 4, 14) &lt; 10))
"),"Max: 527")</f>
        <v>Max: 527</v>
      </c>
    </row>
    <row r="17">
      <c r="A17" s="1" t="s">
        <v>37</v>
      </c>
      <c r="B17" s="1" t="s">
        <v>4</v>
      </c>
      <c r="C17" s="1" t="s">
        <v>5</v>
      </c>
      <c r="D17" s="1" t="s">
        <v>6</v>
      </c>
      <c r="E17" s="1" t="s">
        <v>7</v>
      </c>
      <c r="F17" s="1" t="s">
        <v>8</v>
      </c>
      <c r="I17" s="5"/>
    </row>
    <row r="18">
      <c r="A18" s="17">
        <v>1.0</v>
      </c>
      <c r="B18" s="1">
        <v>0.0</v>
      </c>
      <c r="C18" s="3">
        <v>0.0</v>
      </c>
      <c r="D18" s="1">
        <v>0.0</v>
      </c>
      <c r="E18" s="3">
        <v>52.0</v>
      </c>
      <c r="F18" s="1">
        <v>24.0</v>
      </c>
      <c r="G18" s="5">
        <f t="shared" ref="G18:G26" si="6">(B18*0.5 + C18/100*0.2 + (51 - F18)/5*0.3)/10</f>
        <v>0.162</v>
      </c>
      <c r="H18" s="5">
        <f t="shared" ref="H18:H27" si="7">(D18*0.5 + E18/100*0.2 + (51 - F18)/5*0.3)/10</f>
        <v>0.1724</v>
      </c>
      <c r="I18" s="5">
        <f t="shared" ref="I18:I27" si="8">AVERAGE(G18,H18)</f>
        <v>0.1672</v>
      </c>
      <c r="J18" s="1" t="s">
        <v>15</v>
      </c>
    </row>
    <row r="19">
      <c r="A19" s="17">
        <v>2.0</v>
      </c>
      <c r="B19" s="1">
        <v>0.0</v>
      </c>
      <c r="C19" s="3">
        <v>359.0</v>
      </c>
      <c r="D19" s="1">
        <v>3.0</v>
      </c>
      <c r="E19" s="3">
        <v>746.0</v>
      </c>
      <c r="F19" s="1">
        <v>5.0</v>
      </c>
      <c r="G19" s="5">
        <f t="shared" si="6"/>
        <v>0.3478</v>
      </c>
      <c r="H19" s="5">
        <f t="shared" si="7"/>
        <v>0.5752</v>
      </c>
      <c r="I19" s="5">
        <f t="shared" si="8"/>
        <v>0.4615</v>
      </c>
      <c r="J19" s="6">
        <f>B28/10</f>
        <v>1.6</v>
      </c>
    </row>
    <row r="20">
      <c r="A20" s="17">
        <v>3.0</v>
      </c>
      <c r="B20" s="1">
        <v>2.0</v>
      </c>
      <c r="C20" s="3">
        <v>274.0</v>
      </c>
      <c r="D20" s="1">
        <v>4.0</v>
      </c>
      <c r="E20" s="3">
        <v>480.0</v>
      </c>
      <c r="F20" s="9">
        <v>1.0</v>
      </c>
      <c r="G20" s="5">
        <f t="shared" si="6"/>
        <v>0.4548</v>
      </c>
      <c r="H20" s="5">
        <f t="shared" si="7"/>
        <v>0.596</v>
      </c>
      <c r="I20" s="5">
        <f t="shared" si="8"/>
        <v>0.5254</v>
      </c>
      <c r="J20" s="1" t="s">
        <v>19</v>
      </c>
    </row>
    <row r="21">
      <c r="A21" s="17">
        <v>4.0</v>
      </c>
      <c r="B21" s="1">
        <v>0.0</v>
      </c>
      <c r="C21" s="3">
        <v>100.0</v>
      </c>
      <c r="D21" s="1">
        <v>0.0</v>
      </c>
      <c r="E21" s="3">
        <v>0.0</v>
      </c>
      <c r="F21" s="1">
        <v>20.0</v>
      </c>
      <c r="G21" s="5">
        <f t="shared" si="6"/>
        <v>0.206</v>
      </c>
      <c r="H21" s="5">
        <f t="shared" si="7"/>
        <v>0.186</v>
      </c>
      <c r="I21" s="5">
        <f t="shared" si="8"/>
        <v>0.196</v>
      </c>
      <c r="J21" s="6">
        <f>D28/10</f>
        <v>1.3</v>
      </c>
      <c r="M21" s="2" t="s">
        <v>38</v>
      </c>
      <c r="N21" s="2" t="s">
        <v>39</v>
      </c>
    </row>
    <row r="22">
      <c r="A22" s="17">
        <v>5.0</v>
      </c>
      <c r="B22" s="1">
        <v>0.0</v>
      </c>
      <c r="C22" s="3">
        <v>113.0</v>
      </c>
      <c r="D22" s="1">
        <v>0.0</v>
      </c>
      <c r="E22" s="3">
        <v>212.0</v>
      </c>
      <c r="F22" s="1">
        <v>28.0</v>
      </c>
      <c r="G22" s="5">
        <f t="shared" si="6"/>
        <v>0.1606</v>
      </c>
      <c r="H22" s="5">
        <f t="shared" si="7"/>
        <v>0.1804</v>
      </c>
      <c r="I22" s="5">
        <f t="shared" si="8"/>
        <v>0.1705</v>
      </c>
      <c r="J22" s="7" t="s">
        <v>23</v>
      </c>
      <c r="M22" s="6" t="str">
        <f t="shared" ref="M22:N22" si="9">"Game on " &amp; MATCH(MAX(G4:G300), G4:G300, 0) + ROW(G4) - 1 &amp; ". row"
</f>
        <v>Game on 27. row</v>
      </c>
      <c r="N22" s="6" t="str">
        <f t="shared" si="9"/>
        <v>Game on 298. row</v>
      </c>
    </row>
    <row r="23">
      <c r="A23" s="17">
        <v>6.0</v>
      </c>
      <c r="B23" s="1">
        <v>2.0</v>
      </c>
      <c r="C23" s="3">
        <v>401.0</v>
      </c>
      <c r="D23" s="1">
        <v>2.0</v>
      </c>
      <c r="E23" s="3">
        <v>241.0</v>
      </c>
      <c r="F23" s="1">
        <v>4.0</v>
      </c>
      <c r="G23" s="5">
        <f t="shared" si="6"/>
        <v>0.4622</v>
      </c>
      <c r="H23" s="5">
        <f t="shared" si="7"/>
        <v>0.4302</v>
      </c>
      <c r="I23" s="5">
        <f t="shared" si="8"/>
        <v>0.4462</v>
      </c>
      <c r="J23" s="8">
        <f>J19/J21</f>
        <v>1.230769231</v>
      </c>
      <c r="M23" s="2" t="s">
        <v>40</v>
      </c>
    </row>
    <row r="24">
      <c r="A24" s="17">
        <v>7.0</v>
      </c>
      <c r="B24" s="1">
        <v>1.0</v>
      </c>
      <c r="C24" s="3">
        <v>129.0</v>
      </c>
      <c r="D24" s="1">
        <v>1.0</v>
      </c>
      <c r="E24" s="3">
        <v>82.0</v>
      </c>
      <c r="F24" s="1">
        <v>29.0</v>
      </c>
      <c r="G24" s="5">
        <f t="shared" si="6"/>
        <v>0.2078</v>
      </c>
      <c r="H24" s="5">
        <f t="shared" si="7"/>
        <v>0.1984</v>
      </c>
      <c r="I24" s="5">
        <f t="shared" si="8"/>
        <v>0.2031</v>
      </c>
      <c r="J24" s="10" t="s">
        <v>27</v>
      </c>
      <c r="M24" s="6" t="str">
        <f>"Game on " &amp; MATCH(MAX(I6:I302), I6:I302, 0) + ROW(I6) - 1 &amp; ". row"
</f>
        <v>Game on 27. row</v>
      </c>
    </row>
    <row r="25">
      <c r="A25" s="17">
        <v>8.0</v>
      </c>
      <c r="B25" s="1">
        <v>3.0</v>
      </c>
      <c r="C25" s="3">
        <v>294.0</v>
      </c>
      <c r="D25" s="1">
        <v>1.0</v>
      </c>
      <c r="E25" s="3">
        <v>232.0</v>
      </c>
      <c r="F25" s="18">
        <v>2.0</v>
      </c>
      <c r="G25" s="5">
        <f t="shared" si="6"/>
        <v>0.5028</v>
      </c>
      <c r="H25" s="5">
        <f t="shared" si="7"/>
        <v>0.3904</v>
      </c>
      <c r="I25" s="5">
        <f t="shared" si="8"/>
        <v>0.4466</v>
      </c>
      <c r="J25" s="13">
        <f>J21/J19</f>
        <v>0.8125</v>
      </c>
    </row>
    <row r="26">
      <c r="A26" s="17">
        <v>9.0</v>
      </c>
      <c r="B26" s="1">
        <v>0.0</v>
      </c>
      <c r="C26" s="3">
        <v>80.0</v>
      </c>
      <c r="D26" s="1">
        <v>0.0</v>
      </c>
      <c r="E26" s="3">
        <v>72.0</v>
      </c>
      <c r="F26" s="1">
        <v>36.0</v>
      </c>
      <c r="G26" s="5">
        <f t="shared" si="6"/>
        <v>0.106</v>
      </c>
      <c r="H26" s="5">
        <f t="shared" si="7"/>
        <v>0.1044</v>
      </c>
      <c r="I26" s="5">
        <f t="shared" si="8"/>
        <v>0.1052</v>
      </c>
      <c r="M26" s="2" t="s">
        <v>41</v>
      </c>
    </row>
    <row r="27">
      <c r="A27" s="17">
        <v>10.0</v>
      </c>
      <c r="B27" s="1">
        <v>8.0</v>
      </c>
      <c r="C27" s="3">
        <v>972.0</v>
      </c>
      <c r="D27" s="1">
        <v>2.0</v>
      </c>
      <c r="E27" s="3">
        <v>205.0</v>
      </c>
      <c r="F27" s="9">
        <v>1.0</v>
      </c>
      <c r="G27" s="5">
        <f>MAX((B27*0.5 + C27/100*0.2 + (51 - F27)/5*0.3)/10, 1)</f>
        <v>1</v>
      </c>
      <c r="H27" s="5">
        <f t="shared" si="7"/>
        <v>0.441</v>
      </c>
      <c r="I27" s="5">
        <f t="shared" si="8"/>
        <v>0.7205</v>
      </c>
      <c r="M27" s="1" t="s">
        <v>42</v>
      </c>
    </row>
    <row r="28">
      <c r="A28" s="1" t="s">
        <v>33</v>
      </c>
      <c r="B28" s="6">
        <f>SUM(B18:B27)</f>
        <v>16</v>
      </c>
      <c r="C28" s="16">
        <f>AVERAGE(C18:C27)</f>
        <v>272.2</v>
      </c>
      <c r="D28" s="6">
        <f>SUM(D18:D27)</f>
        <v>13</v>
      </c>
      <c r="E28" s="16">
        <f t="shared" ref="E28:F28" si="10">AVERAGE(E18:E27)</f>
        <v>232.2</v>
      </c>
      <c r="F28" s="6">
        <f t="shared" si="10"/>
        <v>15</v>
      </c>
      <c r="G28" s="5">
        <f t="shared" ref="G28:I28" si="11">Average(G18:G27)</f>
        <v>0.361</v>
      </c>
      <c r="H28" s="5">
        <f t="shared" si="11"/>
        <v>0.32744</v>
      </c>
      <c r="I28" s="5">
        <f t="shared" si="11"/>
        <v>0.34422</v>
      </c>
      <c r="M28" s="2" t="s">
        <v>43</v>
      </c>
    </row>
    <row r="29">
      <c r="I29" s="11"/>
      <c r="M29" s="1" t="s">
        <v>44</v>
      </c>
    </row>
    <row r="30">
      <c r="A30" s="1"/>
      <c r="B30" s="1" t="s">
        <v>0</v>
      </c>
      <c r="C30" s="1" t="s">
        <v>45</v>
      </c>
      <c r="D30" s="1" t="s">
        <v>2</v>
      </c>
      <c r="E30" s="1" t="str">
        <f>"Game on " &amp; MATCH(MAX(I32:I41), I32:I41, 0) + ROW(I32) - 1 &amp; ". row"
</f>
        <v>Game on 38. row</v>
      </c>
      <c r="F30" s="1"/>
      <c r="I30" s="5"/>
    </row>
    <row r="31">
      <c r="A31" s="1" t="s">
        <v>46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I31" s="5"/>
      <c r="M31" s="2" t="s">
        <v>47</v>
      </c>
      <c r="N31" s="2" t="s">
        <v>48</v>
      </c>
    </row>
    <row r="32">
      <c r="A32" s="17">
        <v>1.0</v>
      </c>
      <c r="B32" s="1">
        <v>0.0</v>
      </c>
      <c r="C32" s="3">
        <v>0.0</v>
      </c>
      <c r="D32" s="1">
        <v>1.0</v>
      </c>
      <c r="E32" s="3">
        <v>135.0</v>
      </c>
      <c r="F32" s="1">
        <v>29.0</v>
      </c>
      <c r="G32" s="5">
        <f t="shared" ref="G32:G41" si="12">(B32*0.5 + C32/100*0.2 + (51 - F32)/5*0.3)/10</f>
        <v>0.132</v>
      </c>
      <c r="H32" s="5">
        <f t="shared" ref="H32:H41" si="13">(D32*0.5 + E32/100*0.2 + (51 - F32)/5*0.3)/10</f>
        <v>0.209</v>
      </c>
      <c r="I32" s="19">
        <f t="shared" ref="I32:I41" si="14">AVERAGE(G32,H32)</f>
        <v>0.1705</v>
      </c>
      <c r="J32" s="1" t="s">
        <v>15</v>
      </c>
      <c r="M32" s="1" t="s">
        <v>49</v>
      </c>
      <c r="N32" s="1" t="s">
        <v>50</v>
      </c>
    </row>
    <row r="33">
      <c r="A33" s="17">
        <v>2.0</v>
      </c>
      <c r="B33" s="1">
        <v>0.0</v>
      </c>
      <c r="C33" s="3">
        <v>195.0</v>
      </c>
      <c r="D33" s="1">
        <v>1.0</v>
      </c>
      <c r="E33" s="3">
        <v>83.0</v>
      </c>
      <c r="F33" s="1">
        <v>22.0</v>
      </c>
      <c r="G33" s="5">
        <f t="shared" si="12"/>
        <v>0.213</v>
      </c>
      <c r="H33" s="5">
        <f t="shared" si="13"/>
        <v>0.2406</v>
      </c>
      <c r="I33" s="20">
        <f t="shared" si="14"/>
        <v>0.2268</v>
      </c>
      <c r="J33" s="6">
        <f>B42/10</f>
        <v>0.5</v>
      </c>
      <c r="M33" s="2" t="s">
        <v>51</v>
      </c>
      <c r="N33" s="2" t="s">
        <v>52</v>
      </c>
    </row>
    <row r="34">
      <c r="A34" s="17">
        <v>3.0</v>
      </c>
      <c r="B34" s="1">
        <v>1.0</v>
      </c>
      <c r="C34" s="3">
        <v>222.0</v>
      </c>
      <c r="D34" s="1">
        <v>1.0</v>
      </c>
      <c r="E34" s="3">
        <v>36.0</v>
      </c>
      <c r="F34" s="1">
        <v>8.0</v>
      </c>
      <c r="G34" s="5">
        <f t="shared" si="12"/>
        <v>0.3524</v>
      </c>
      <c r="H34" s="5">
        <f t="shared" si="13"/>
        <v>0.3152</v>
      </c>
      <c r="I34" s="21">
        <f t="shared" si="14"/>
        <v>0.3338</v>
      </c>
      <c r="J34" s="1" t="s">
        <v>19</v>
      </c>
      <c r="M34" s="1" t="s">
        <v>53</v>
      </c>
      <c r="N34" s="1" t="s">
        <v>54</v>
      </c>
    </row>
    <row r="35">
      <c r="A35" s="17">
        <v>4.0</v>
      </c>
      <c r="B35" s="1">
        <v>0.0</v>
      </c>
      <c r="C35" s="3">
        <v>157.0</v>
      </c>
      <c r="D35" s="1">
        <v>1.0</v>
      </c>
      <c r="E35" s="3">
        <v>141.0</v>
      </c>
      <c r="F35" s="1">
        <v>18.0</v>
      </c>
      <c r="G35" s="5">
        <f t="shared" si="12"/>
        <v>0.2294</v>
      </c>
      <c r="H35" s="5">
        <f t="shared" si="13"/>
        <v>0.2762</v>
      </c>
      <c r="I35" s="22">
        <f t="shared" si="14"/>
        <v>0.2528</v>
      </c>
      <c r="J35" s="6">
        <f>D42/10</f>
        <v>0.8</v>
      </c>
    </row>
    <row r="36">
      <c r="A36" s="17">
        <v>5.0</v>
      </c>
      <c r="B36" s="1">
        <v>0.0</v>
      </c>
      <c r="C36" s="3">
        <v>193.0</v>
      </c>
      <c r="D36" s="1">
        <v>2.0</v>
      </c>
      <c r="E36" s="3">
        <v>190.0</v>
      </c>
      <c r="F36" s="1">
        <v>23.0</v>
      </c>
      <c r="G36" s="5">
        <f t="shared" si="12"/>
        <v>0.2066</v>
      </c>
      <c r="H36" s="5">
        <f t="shared" si="13"/>
        <v>0.306</v>
      </c>
      <c r="I36" s="23">
        <f t="shared" si="14"/>
        <v>0.2563</v>
      </c>
      <c r="J36" s="7" t="s">
        <v>23</v>
      </c>
    </row>
    <row r="37">
      <c r="A37" s="17">
        <v>6.0</v>
      </c>
      <c r="B37" s="1">
        <v>0.0</v>
      </c>
      <c r="C37" s="3">
        <v>203.0</v>
      </c>
      <c r="D37" s="1">
        <v>0.0</v>
      </c>
      <c r="E37" s="3">
        <v>0.0</v>
      </c>
      <c r="F37" s="1">
        <v>13.0</v>
      </c>
      <c r="G37" s="5">
        <f t="shared" si="12"/>
        <v>0.2686</v>
      </c>
      <c r="H37" s="5">
        <f t="shared" si="13"/>
        <v>0.228</v>
      </c>
      <c r="I37" s="22">
        <f t="shared" si="14"/>
        <v>0.2483</v>
      </c>
      <c r="J37" s="8">
        <f>J33/J35</f>
        <v>0.625</v>
      </c>
    </row>
    <row r="38">
      <c r="A38" s="17">
        <v>7.0</v>
      </c>
      <c r="B38" s="1">
        <v>2.0</v>
      </c>
      <c r="C38" s="3">
        <v>205.0</v>
      </c>
      <c r="D38" s="1">
        <v>1.0</v>
      </c>
      <c r="E38" s="3">
        <v>165.0</v>
      </c>
      <c r="F38" s="4">
        <v>3.0</v>
      </c>
      <c r="G38" s="5">
        <f t="shared" si="12"/>
        <v>0.429</v>
      </c>
      <c r="H38" s="5">
        <f t="shared" si="13"/>
        <v>0.371</v>
      </c>
      <c r="I38" s="24">
        <f t="shared" si="14"/>
        <v>0.4</v>
      </c>
      <c r="J38" s="10" t="s">
        <v>27</v>
      </c>
    </row>
    <row r="39">
      <c r="A39" s="17">
        <v>8.0</v>
      </c>
      <c r="B39" s="1">
        <v>0.0</v>
      </c>
      <c r="C39" s="3">
        <v>72.0</v>
      </c>
      <c r="D39" s="1">
        <v>0.0</v>
      </c>
      <c r="E39" s="3">
        <v>75.0</v>
      </c>
      <c r="F39" s="1">
        <v>29.0</v>
      </c>
      <c r="G39" s="5">
        <f t="shared" si="12"/>
        <v>0.1464</v>
      </c>
      <c r="H39" s="5">
        <f t="shared" si="13"/>
        <v>0.147</v>
      </c>
      <c r="I39" s="25">
        <f t="shared" si="14"/>
        <v>0.1467</v>
      </c>
      <c r="J39" s="13">
        <f>J35/J33</f>
        <v>1.6</v>
      </c>
    </row>
    <row r="40">
      <c r="A40" s="17">
        <v>9.0</v>
      </c>
      <c r="B40" s="1">
        <v>2.0</v>
      </c>
      <c r="C40" s="3">
        <v>353.0</v>
      </c>
      <c r="D40" s="1">
        <v>1.0</v>
      </c>
      <c r="E40" s="3">
        <v>101.0</v>
      </c>
      <c r="F40" s="1">
        <v>29.0</v>
      </c>
      <c r="G40" s="5">
        <f t="shared" si="12"/>
        <v>0.3026</v>
      </c>
      <c r="H40" s="5">
        <f t="shared" si="13"/>
        <v>0.2022</v>
      </c>
      <c r="I40" s="23">
        <f t="shared" si="14"/>
        <v>0.2524</v>
      </c>
    </row>
    <row r="41">
      <c r="A41" s="17">
        <v>10.0</v>
      </c>
      <c r="B41" s="1">
        <v>0.0</v>
      </c>
      <c r="C41" s="3">
        <v>225.0</v>
      </c>
      <c r="D41" s="1">
        <v>0.0</v>
      </c>
      <c r="E41" s="3">
        <v>300.0</v>
      </c>
      <c r="F41" s="1">
        <v>20.0</v>
      </c>
      <c r="G41" s="5">
        <f t="shared" si="12"/>
        <v>0.231</v>
      </c>
      <c r="H41" s="5">
        <f t="shared" si="13"/>
        <v>0.246</v>
      </c>
      <c r="I41" s="23">
        <f t="shared" si="14"/>
        <v>0.2385</v>
      </c>
    </row>
    <row r="42">
      <c r="A42" s="1" t="s">
        <v>33</v>
      </c>
      <c r="B42" s="6">
        <f>SUM(B32:B41)</f>
        <v>5</v>
      </c>
      <c r="C42" s="16">
        <f>AVERAGE(C32:C41)</f>
        <v>182.5</v>
      </c>
      <c r="D42" s="6">
        <f>SUM(D32:D41)</f>
        <v>8</v>
      </c>
      <c r="E42" s="16">
        <f t="shared" ref="E42:F42" si="15">AVERAGE(E32:E41)</f>
        <v>122.6</v>
      </c>
      <c r="F42" s="6">
        <f t="shared" si="15"/>
        <v>19.4</v>
      </c>
      <c r="G42" s="5">
        <f t="shared" ref="G42:I42" si="16">Average(G32:G41)</f>
        <v>0.2511</v>
      </c>
      <c r="H42" s="5">
        <f t="shared" si="16"/>
        <v>0.25412</v>
      </c>
      <c r="I42" s="5">
        <f t="shared" si="16"/>
        <v>0.25261</v>
      </c>
    </row>
    <row r="43">
      <c r="I43" s="5"/>
    </row>
    <row r="44">
      <c r="A44" s="1"/>
      <c r="B44" s="1" t="s">
        <v>0</v>
      </c>
      <c r="C44" s="1" t="s">
        <v>55</v>
      </c>
      <c r="D44" s="1" t="s">
        <v>2</v>
      </c>
      <c r="E44" s="1" t="str">
        <f>"Game on " &amp; MATCH(MAX(I46:I55), I46:I55, 0) + ROW(I46) - 1 &amp; ". row"
</f>
        <v>Game on 48. row</v>
      </c>
      <c r="F44" s="1"/>
      <c r="I44" s="5"/>
    </row>
    <row r="45">
      <c r="A45" s="1" t="s">
        <v>56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I45" s="5"/>
    </row>
    <row r="46">
      <c r="A46" s="17">
        <v>1.0</v>
      </c>
      <c r="B46" s="1">
        <v>0.0</v>
      </c>
      <c r="C46" s="3">
        <v>116.0</v>
      </c>
      <c r="D46" s="1">
        <v>1.0</v>
      </c>
      <c r="E46" s="3">
        <v>77.0</v>
      </c>
      <c r="F46" s="1">
        <v>13.0</v>
      </c>
      <c r="G46" s="5">
        <f t="shared" ref="G46:G55" si="17">(B46*0.5 + C46/100*0.2 + (51 - F46)/5*0.3)/10</f>
        <v>0.2512</v>
      </c>
      <c r="H46" s="5">
        <f t="shared" ref="H46:H55" si="18">(D46*0.5 + E46/100*0.2 + (51 - F46)/5*0.3)/10</f>
        <v>0.2934</v>
      </c>
      <c r="I46" s="19">
        <f t="shared" ref="I46:I55" si="19">AVERAGE(G46,H46)</f>
        <v>0.2723</v>
      </c>
      <c r="J46" s="1" t="s">
        <v>15</v>
      </c>
    </row>
    <row r="47">
      <c r="A47" s="17">
        <v>2.0</v>
      </c>
      <c r="B47" s="1">
        <v>2.0</v>
      </c>
      <c r="C47" s="3">
        <v>200.0</v>
      </c>
      <c r="D47" s="1">
        <v>1.0</v>
      </c>
      <c r="E47" s="3">
        <v>111.0</v>
      </c>
      <c r="F47" s="1">
        <v>35.0</v>
      </c>
      <c r="G47" s="5">
        <f t="shared" si="17"/>
        <v>0.236</v>
      </c>
      <c r="H47" s="5">
        <f t="shared" si="18"/>
        <v>0.1682</v>
      </c>
      <c r="I47" s="20">
        <f t="shared" si="19"/>
        <v>0.2021</v>
      </c>
      <c r="J47" s="6">
        <f>B56/10</f>
        <v>1.4</v>
      </c>
    </row>
    <row r="48">
      <c r="A48" s="17">
        <v>3.0</v>
      </c>
      <c r="B48" s="1">
        <v>4.0</v>
      </c>
      <c r="C48" s="3">
        <v>581.0</v>
      </c>
      <c r="D48" s="1">
        <v>4.0</v>
      </c>
      <c r="E48" s="3">
        <v>336.0</v>
      </c>
      <c r="F48" s="1">
        <v>5.0</v>
      </c>
      <c r="G48" s="5">
        <f t="shared" si="17"/>
        <v>0.5922</v>
      </c>
      <c r="H48" s="5">
        <f t="shared" si="18"/>
        <v>0.5432</v>
      </c>
      <c r="I48" s="21">
        <f t="shared" si="19"/>
        <v>0.5677</v>
      </c>
      <c r="J48" s="1" t="s">
        <v>19</v>
      </c>
    </row>
    <row r="49">
      <c r="A49" s="17">
        <v>4.0</v>
      </c>
      <c r="B49" s="1">
        <v>1.0</v>
      </c>
      <c r="C49" s="3">
        <v>0.0</v>
      </c>
      <c r="D49" s="1">
        <v>0.0</v>
      </c>
      <c r="E49" s="3">
        <v>0.0</v>
      </c>
      <c r="F49" s="1">
        <v>22.0</v>
      </c>
      <c r="G49" s="5">
        <f t="shared" si="17"/>
        <v>0.224</v>
      </c>
      <c r="H49" s="5">
        <f t="shared" si="18"/>
        <v>0.174</v>
      </c>
      <c r="I49" s="22">
        <f t="shared" si="19"/>
        <v>0.199</v>
      </c>
      <c r="J49" s="6">
        <f>D56/10</f>
        <v>0.6</v>
      </c>
    </row>
    <row r="50">
      <c r="A50" s="17">
        <v>5.0</v>
      </c>
      <c r="B50" s="1">
        <v>0.0</v>
      </c>
      <c r="C50" s="3">
        <v>43.0</v>
      </c>
      <c r="D50" s="1">
        <v>0.0</v>
      </c>
      <c r="E50" s="3">
        <v>0.0</v>
      </c>
      <c r="F50" s="1">
        <v>16.0</v>
      </c>
      <c r="G50" s="5">
        <f t="shared" si="17"/>
        <v>0.2186</v>
      </c>
      <c r="H50" s="5">
        <f t="shared" si="18"/>
        <v>0.21</v>
      </c>
      <c r="I50" s="23">
        <f t="shared" si="19"/>
        <v>0.2143</v>
      </c>
      <c r="J50" s="7" t="s">
        <v>23</v>
      </c>
    </row>
    <row r="51">
      <c r="A51" s="17">
        <v>6.0</v>
      </c>
      <c r="B51" s="1">
        <v>0.0</v>
      </c>
      <c r="C51" s="3">
        <v>52.0</v>
      </c>
      <c r="D51" s="1">
        <v>0.0</v>
      </c>
      <c r="E51" s="3">
        <v>0.0</v>
      </c>
      <c r="F51" s="1">
        <v>33.0</v>
      </c>
      <c r="G51" s="5">
        <f t="shared" si="17"/>
        <v>0.1184</v>
      </c>
      <c r="H51" s="5">
        <f t="shared" si="18"/>
        <v>0.108</v>
      </c>
      <c r="I51" s="22">
        <f t="shared" si="19"/>
        <v>0.1132</v>
      </c>
      <c r="J51" s="8">
        <f>J47/J49</f>
        <v>2.333333333</v>
      </c>
    </row>
    <row r="52">
      <c r="A52" s="17">
        <v>7.0</v>
      </c>
      <c r="B52" s="1">
        <v>0.0</v>
      </c>
      <c r="C52" s="3">
        <v>0.0</v>
      </c>
      <c r="D52" s="1">
        <v>0.0</v>
      </c>
      <c r="E52" s="3">
        <v>39.0</v>
      </c>
      <c r="F52" s="1">
        <v>50.0</v>
      </c>
      <c r="G52" s="5">
        <f t="shared" si="17"/>
        <v>0.006</v>
      </c>
      <c r="H52" s="5">
        <f t="shared" si="18"/>
        <v>0.0138</v>
      </c>
      <c r="I52" s="24">
        <f t="shared" si="19"/>
        <v>0.0099</v>
      </c>
      <c r="J52" s="10" t="s">
        <v>27</v>
      </c>
    </row>
    <row r="53">
      <c r="A53" s="17">
        <v>8.0</v>
      </c>
      <c r="B53" s="1">
        <v>5.0</v>
      </c>
      <c r="C53" s="3">
        <v>383.0</v>
      </c>
      <c r="D53" s="1">
        <v>0.0</v>
      </c>
      <c r="E53" s="3">
        <v>74.0</v>
      </c>
      <c r="F53" s="1">
        <v>11.0</v>
      </c>
      <c r="G53" s="5">
        <f t="shared" si="17"/>
        <v>0.5666</v>
      </c>
      <c r="H53" s="5">
        <f t="shared" si="18"/>
        <v>0.2548</v>
      </c>
      <c r="I53" s="25">
        <f t="shared" si="19"/>
        <v>0.4107</v>
      </c>
      <c r="J53" s="13">
        <f>J49/J47</f>
        <v>0.4285714286</v>
      </c>
    </row>
    <row r="54">
      <c r="A54" s="17">
        <v>9.0</v>
      </c>
      <c r="B54" s="1">
        <v>0.0</v>
      </c>
      <c r="C54" s="3">
        <v>23.0</v>
      </c>
      <c r="D54" s="1">
        <v>0.0</v>
      </c>
      <c r="E54" s="3">
        <v>0.0</v>
      </c>
      <c r="F54" s="1">
        <v>21.0</v>
      </c>
      <c r="G54" s="5">
        <f t="shared" si="17"/>
        <v>0.1846</v>
      </c>
      <c r="H54" s="5">
        <f t="shared" si="18"/>
        <v>0.18</v>
      </c>
      <c r="I54" s="23">
        <f t="shared" si="19"/>
        <v>0.1823</v>
      </c>
    </row>
    <row r="55">
      <c r="A55" s="17">
        <v>10.0</v>
      </c>
      <c r="B55" s="1">
        <v>2.0</v>
      </c>
      <c r="C55" s="3">
        <v>191.0</v>
      </c>
      <c r="D55" s="1">
        <v>0.0</v>
      </c>
      <c r="E55" s="3">
        <v>107.0</v>
      </c>
      <c r="F55" s="1">
        <v>10.0</v>
      </c>
      <c r="G55" s="5">
        <f t="shared" si="17"/>
        <v>0.3842</v>
      </c>
      <c r="H55" s="5">
        <f t="shared" si="18"/>
        <v>0.2674</v>
      </c>
      <c r="I55" s="23">
        <f t="shared" si="19"/>
        <v>0.3258</v>
      </c>
    </row>
    <row r="56">
      <c r="A56" s="1" t="s">
        <v>33</v>
      </c>
      <c r="B56" s="6">
        <f>SUM(B46:B55)</f>
        <v>14</v>
      </c>
      <c r="C56" s="16">
        <f>AVERAGE(C46:C55)</f>
        <v>158.9</v>
      </c>
      <c r="D56" s="6">
        <f>SUM(D46:D55)</f>
        <v>6</v>
      </c>
      <c r="E56" s="16">
        <f t="shared" ref="E56:F56" si="20">AVERAGE(E46:E55)</f>
        <v>74.4</v>
      </c>
      <c r="F56" s="6">
        <f t="shared" si="20"/>
        <v>21.6</v>
      </c>
      <c r="G56" s="5">
        <f t="shared" ref="G56:I56" si="21">Average(G46:G55)</f>
        <v>0.27818</v>
      </c>
      <c r="H56" s="5">
        <f t="shared" si="21"/>
        <v>0.22128</v>
      </c>
      <c r="I56" s="5">
        <f t="shared" si="21"/>
        <v>0.24973</v>
      </c>
    </row>
    <row r="57">
      <c r="I57" s="5"/>
    </row>
    <row r="58">
      <c r="A58" s="1"/>
      <c r="B58" s="1" t="s">
        <v>0</v>
      </c>
      <c r="C58" s="1" t="s">
        <v>57</v>
      </c>
      <c r="D58" s="1" t="s">
        <v>2</v>
      </c>
      <c r="E58" s="1" t="str">
        <f>"Game on " &amp; MATCH(MAX(I60:I69), I60:I69, 0) + ROW(I60) - 1 &amp; ". row"
</f>
        <v>Game on 63. row</v>
      </c>
      <c r="F58" s="1"/>
      <c r="I58" s="5"/>
    </row>
    <row r="59">
      <c r="A59" s="1" t="s">
        <v>58</v>
      </c>
      <c r="B59" s="1" t="s">
        <v>4</v>
      </c>
      <c r="C59" s="1" t="s">
        <v>5</v>
      </c>
      <c r="D59" s="1" t="s">
        <v>6</v>
      </c>
      <c r="E59" s="1" t="s">
        <v>7</v>
      </c>
      <c r="F59" s="1" t="s">
        <v>8</v>
      </c>
      <c r="I59" s="5"/>
    </row>
    <row r="60">
      <c r="A60" s="17">
        <v>1.0</v>
      </c>
      <c r="B60" s="1">
        <v>2.0</v>
      </c>
      <c r="C60" s="1">
        <v>152.0</v>
      </c>
      <c r="D60" s="1">
        <v>0.0</v>
      </c>
      <c r="E60" s="3">
        <v>0.0</v>
      </c>
      <c r="F60" s="1">
        <v>12.0</v>
      </c>
      <c r="G60" s="5">
        <f t="shared" ref="G60:G69" si="22">(B60*0.5 + C60/100*0.2 + (51 - F60)/5*0.3)/10</f>
        <v>0.3644</v>
      </c>
      <c r="H60" s="5">
        <f t="shared" ref="H60:H69" si="23">(D60*0.5 + E60/100*0.2 + (51 - F60)/5*0.3)/10</f>
        <v>0.234</v>
      </c>
      <c r="I60" s="19">
        <f t="shared" ref="I60:I69" si="24">AVERAGE(G60,H60)</f>
        <v>0.2992</v>
      </c>
      <c r="J60" s="1" t="s">
        <v>15</v>
      </c>
    </row>
    <row r="61">
      <c r="A61" s="17">
        <v>2.0</v>
      </c>
      <c r="B61" s="1">
        <v>0.0</v>
      </c>
      <c r="C61" s="1">
        <v>13.0</v>
      </c>
      <c r="D61" s="1">
        <v>1.0</v>
      </c>
      <c r="E61" s="3">
        <v>80.0</v>
      </c>
      <c r="F61" s="1">
        <v>38.0</v>
      </c>
      <c r="G61" s="5">
        <f t="shared" si="22"/>
        <v>0.0806</v>
      </c>
      <c r="H61" s="5">
        <f t="shared" si="23"/>
        <v>0.144</v>
      </c>
      <c r="I61" s="20">
        <f t="shared" si="24"/>
        <v>0.1123</v>
      </c>
      <c r="J61" s="6">
        <f>B70/10</f>
        <v>1.3</v>
      </c>
    </row>
    <row r="62">
      <c r="A62" s="17">
        <v>3.0</v>
      </c>
      <c r="B62" s="1">
        <v>1.0</v>
      </c>
      <c r="C62" s="1">
        <v>215.0</v>
      </c>
      <c r="D62" s="1">
        <v>0.0</v>
      </c>
      <c r="E62" s="3">
        <v>0.0</v>
      </c>
      <c r="F62" s="1">
        <v>27.0</v>
      </c>
      <c r="G62" s="5">
        <f t="shared" si="22"/>
        <v>0.237</v>
      </c>
      <c r="H62" s="5">
        <f t="shared" si="23"/>
        <v>0.144</v>
      </c>
      <c r="I62" s="21">
        <f t="shared" si="24"/>
        <v>0.1905</v>
      </c>
      <c r="J62" s="1" t="s">
        <v>19</v>
      </c>
    </row>
    <row r="63">
      <c r="A63" s="17">
        <v>4.0</v>
      </c>
      <c r="B63" s="1">
        <v>5.0</v>
      </c>
      <c r="C63" s="1">
        <v>771.0</v>
      </c>
      <c r="D63" s="1">
        <v>1.0</v>
      </c>
      <c r="E63" s="3">
        <v>147.0</v>
      </c>
      <c r="F63" s="9">
        <v>1.0</v>
      </c>
      <c r="G63" s="5">
        <f t="shared" si="22"/>
        <v>0.7042</v>
      </c>
      <c r="H63" s="5">
        <f t="shared" si="23"/>
        <v>0.3794</v>
      </c>
      <c r="I63" s="22">
        <f t="shared" si="24"/>
        <v>0.5418</v>
      </c>
      <c r="J63" s="6">
        <f>D70/10</f>
        <v>0.4</v>
      </c>
    </row>
    <row r="64">
      <c r="A64" s="17">
        <v>5.0</v>
      </c>
      <c r="B64" s="1">
        <v>0.0</v>
      </c>
      <c r="C64" s="1">
        <v>0.0</v>
      </c>
      <c r="D64" s="1">
        <v>0.0</v>
      </c>
      <c r="E64" s="3">
        <v>0.0</v>
      </c>
      <c r="F64" s="1">
        <v>41.0</v>
      </c>
      <c r="G64" s="5">
        <f t="shared" si="22"/>
        <v>0.06</v>
      </c>
      <c r="H64" s="5">
        <f t="shared" si="23"/>
        <v>0.06</v>
      </c>
      <c r="I64" s="23">
        <f t="shared" si="24"/>
        <v>0.06</v>
      </c>
      <c r="J64" s="7" t="s">
        <v>23</v>
      </c>
    </row>
    <row r="65">
      <c r="A65" s="17">
        <v>6.0</v>
      </c>
      <c r="B65" s="1">
        <v>2.0</v>
      </c>
      <c r="C65" s="1">
        <v>318.0</v>
      </c>
      <c r="D65" s="1">
        <v>0.0</v>
      </c>
      <c r="E65" s="3">
        <v>125.0</v>
      </c>
      <c r="F65" s="18">
        <v>2.0</v>
      </c>
      <c r="G65" s="5">
        <f t="shared" si="22"/>
        <v>0.4576</v>
      </c>
      <c r="H65" s="5">
        <f t="shared" si="23"/>
        <v>0.319</v>
      </c>
      <c r="I65" s="22">
        <f t="shared" si="24"/>
        <v>0.3883</v>
      </c>
      <c r="J65" s="8">
        <f>J61/J63</f>
        <v>3.25</v>
      </c>
    </row>
    <row r="66">
      <c r="A66" s="17">
        <v>7.0</v>
      </c>
      <c r="B66" s="1">
        <v>1.0</v>
      </c>
      <c r="C66" s="1">
        <v>103.0</v>
      </c>
      <c r="D66" s="1">
        <v>0.0</v>
      </c>
      <c r="E66" s="3">
        <v>0.0</v>
      </c>
      <c r="F66" s="1">
        <v>27.0</v>
      </c>
      <c r="G66" s="5">
        <f t="shared" si="22"/>
        <v>0.2146</v>
      </c>
      <c r="H66" s="5">
        <f t="shared" si="23"/>
        <v>0.144</v>
      </c>
      <c r="I66" s="24">
        <f t="shared" si="24"/>
        <v>0.1793</v>
      </c>
      <c r="J66" s="10" t="s">
        <v>27</v>
      </c>
    </row>
    <row r="67">
      <c r="A67" s="17">
        <v>8.0</v>
      </c>
      <c r="B67" s="1">
        <v>2.0</v>
      </c>
      <c r="C67" s="1">
        <v>545.0</v>
      </c>
      <c r="D67" s="1">
        <v>2.0</v>
      </c>
      <c r="E67" s="3">
        <v>137.0</v>
      </c>
      <c r="F67" s="4">
        <v>3.0</v>
      </c>
      <c r="G67" s="5">
        <f t="shared" si="22"/>
        <v>0.497</v>
      </c>
      <c r="H67" s="5">
        <f t="shared" si="23"/>
        <v>0.4154</v>
      </c>
      <c r="I67" s="25">
        <f t="shared" si="24"/>
        <v>0.4562</v>
      </c>
      <c r="J67" s="13">
        <f>J63/J61</f>
        <v>0.3076923077</v>
      </c>
    </row>
    <row r="68">
      <c r="A68" s="17">
        <v>9.0</v>
      </c>
      <c r="B68" s="1">
        <v>0.0</v>
      </c>
      <c r="C68" s="1">
        <v>71.0</v>
      </c>
      <c r="D68" s="1">
        <v>0.0</v>
      </c>
      <c r="E68" s="3">
        <v>0.0</v>
      </c>
      <c r="F68" s="1">
        <v>31.0</v>
      </c>
      <c r="G68" s="5">
        <f t="shared" si="22"/>
        <v>0.1342</v>
      </c>
      <c r="H68" s="5">
        <f t="shared" si="23"/>
        <v>0.12</v>
      </c>
      <c r="I68" s="23">
        <f t="shared" si="24"/>
        <v>0.1271</v>
      </c>
    </row>
    <row r="69">
      <c r="A69" s="17">
        <v>10.0</v>
      </c>
      <c r="B69" s="1">
        <v>0.0</v>
      </c>
      <c r="C69" s="1">
        <v>162.0</v>
      </c>
      <c r="D69" s="1">
        <v>0.0</v>
      </c>
      <c r="E69" s="3">
        <v>100.0</v>
      </c>
      <c r="F69" s="1">
        <v>10.0</v>
      </c>
      <c r="G69" s="5">
        <f t="shared" si="22"/>
        <v>0.2784</v>
      </c>
      <c r="H69" s="5">
        <f t="shared" si="23"/>
        <v>0.266</v>
      </c>
      <c r="I69" s="23">
        <f t="shared" si="24"/>
        <v>0.2722</v>
      </c>
    </row>
    <row r="70">
      <c r="A70" s="1" t="s">
        <v>33</v>
      </c>
      <c r="B70" s="6">
        <f>SUM(B60:B69)</f>
        <v>13</v>
      </c>
      <c r="C70" s="6">
        <f>AVERAGE(C60:C69)</f>
        <v>235</v>
      </c>
      <c r="D70" s="6">
        <f>SUM(D60:D69)</f>
        <v>4</v>
      </c>
      <c r="E70" s="16">
        <f t="shared" ref="E70:F70" si="25">AVERAGE(E60:E69)</f>
        <v>58.9</v>
      </c>
      <c r="F70" s="6">
        <f t="shared" si="25"/>
        <v>19.2</v>
      </c>
      <c r="G70" s="5">
        <f t="shared" ref="G70:I70" si="26">Average(G60:G69)</f>
        <v>0.3028</v>
      </c>
      <c r="H70" s="5">
        <f t="shared" si="26"/>
        <v>0.22258</v>
      </c>
      <c r="I70" s="5">
        <f t="shared" si="26"/>
        <v>0.26269</v>
      </c>
    </row>
    <row r="71">
      <c r="I71" s="5"/>
    </row>
    <row r="72">
      <c r="A72" s="1"/>
      <c r="B72" s="1" t="s">
        <v>0</v>
      </c>
      <c r="C72" s="1" t="s">
        <v>59</v>
      </c>
      <c r="D72" s="1" t="s">
        <v>2</v>
      </c>
      <c r="E72" s="1" t="str">
        <f>"Game on " &amp; MATCH(MAX(I74:I83), I74:I83, 0) + ROW(I74) - 1 &amp; ". row"
</f>
        <v>Game on 83. row</v>
      </c>
      <c r="F72" s="1"/>
      <c r="I72" s="5"/>
    </row>
    <row r="73">
      <c r="A73" s="1" t="s">
        <v>60</v>
      </c>
      <c r="B73" s="1" t="s">
        <v>4</v>
      </c>
      <c r="C73" s="1" t="s">
        <v>5</v>
      </c>
      <c r="D73" s="1" t="s">
        <v>6</v>
      </c>
      <c r="E73" s="1" t="s">
        <v>7</v>
      </c>
      <c r="F73" s="1" t="s">
        <v>8</v>
      </c>
      <c r="I73" s="5"/>
    </row>
    <row r="74">
      <c r="A74" s="17">
        <v>1.0</v>
      </c>
      <c r="B74" s="1">
        <v>4.0</v>
      </c>
      <c r="C74" s="1">
        <v>424.0</v>
      </c>
      <c r="D74" s="1">
        <v>3.0</v>
      </c>
      <c r="E74" s="1">
        <v>304.0</v>
      </c>
      <c r="F74" s="1">
        <v>4.0</v>
      </c>
      <c r="G74" s="5">
        <f t="shared" ref="G74:G83" si="27">(B74*0.5 + C74/100*0.2 + (51 - F74)/5*0.3)/10</f>
        <v>0.5668</v>
      </c>
      <c r="H74" s="5">
        <f t="shared" ref="H74:H83" si="28">(D74*0.5 + E74/100*0.2 + (51 - F74)/5*0.3)/10</f>
        <v>0.4928</v>
      </c>
      <c r="I74" s="19">
        <f t="shared" ref="I74:I83" si="29">AVERAGE(G74,H74)</f>
        <v>0.5298</v>
      </c>
      <c r="J74" s="1" t="s">
        <v>15</v>
      </c>
    </row>
    <row r="75">
      <c r="A75" s="17">
        <v>2.0</v>
      </c>
      <c r="B75" s="1">
        <v>0.0</v>
      </c>
      <c r="C75" s="1">
        <v>96.0</v>
      </c>
      <c r="D75" s="1">
        <v>0.0</v>
      </c>
      <c r="E75" s="1">
        <v>26.0</v>
      </c>
      <c r="F75" s="1">
        <v>26.0</v>
      </c>
      <c r="G75" s="5">
        <f t="shared" si="27"/>
        <v>0.1692</v>
      </c>
      <c r="H75" s="5">
        <f t="shared" si="28"/>
        <v>0.1552</v>
      </c>
      <c r="I75" s="20">
        <f t="shared" si="29"/>
        <v>0.1622</v>
      </c>
      <c r="J75" s="6">
        <f>B84/10</f>
        <v>1.8</v>
      </c>
    </row>
    <row r="76">
      <c r="A76" s="17">
        <v>3.0</v>
      </c>
      <c r="B76" s="1">
        <v>1.0</v>
      </c>
      <c r="C76" s="1">
        <v>144.0</v>
      </c>
      <c r="D76" s="1">
        <v>2.0</v>
      </c>
      <c r="E76" s="1">
        <v>269.0</v>
      </c>
      <c r="F76" s="1">
        <v>20.0</v>
      </c>
      <c r="G76" s="5">
        <f t="shared" si="27"/>
        <v>0.2648</v>
      </c>
      <c r="H76" s="5">
        <f t="shared" si="28"/>
        <v>0.3398</v>
      </c>
      <c r="I76" s="21">
        <f t="shared" si="29"/>
        <v>0.3023</v>
      </c>
      <c r="J76" s="1" t="s">
        <v>19</v>
      </c>
    </row>
    <row r="77">
      <c r="A77" s="17">
        <v>4.0</v>
      </c>
      <c r="B77" s="1">
        <v>0.0</v>
      </c>
      <c r="C77" s="1">
        <v>34.0</v>
      </c>
      <c r="D77" s="1">
        <v>0.0</v>
      </c>
      <c r="E77" s="1">
        <v>46.0</v>
      </c>
      <c r="F77" s="1">
        <v>29.0</v>
      </c>
      <c r="G77" s="5">
        <f t="shared" si="27"/>
        <v>0.1388</v>
      </c>
      <c r="H77" s="5">
        <f t="shared" si="28"/>
        <v>0.1412</v>
      </c>
      <c r="I77" s="22">
        <f t="shared" si="29"/>
        <v>0.14</v>
      </c>
      <c r="J77" s="6">
        <f>D84/10</f>
        <v>1.1</v>
      </c>
    </row>
    <row r="78">
      <c r="A78" s="17">
        <v>5.0</v>
      </c>
      <c r="B78" s="1">
        <v>1.0</v>
      </c>
      <c r="C78" s="1">
        <v>392.0</v>
      </c>
      <c r="D78" s="1">
        <v>1.0</v>
      </c>
      <c r="E78" s="1">
        <v>128.0</v>
      </c>
      <c r="F78" s="1">
        <v>11.0</v>
      </c>
      <c r="G78" s="5">
        <f t="shared" si="27"/>
        <v>0.3684</v>
      </c>
      <c r="H78" s="5">
        <f t="shared" si="28"/>
        <v>0.3156</v>
      </c>
      <c r="I78" s="23">
        <f t="shared" si="29"/>
        <v>0.342</v>
      </c>
      <c r="J78" s="7" t="s">
        <v>23</v>
      </c>
    </row>
    <row r="79">
      <c r="A79" s="17">
        <v>6.0</v>
      </c>
      <c r="B79" s="1">
        <v>3.0</v>
      </c>
      <c r="C79" s="1">
        <v>256.0</v>
      </c>
      <c r="D79" s="1">
        <v>1.0</v>
      </c>
      <c r="E79" s="1">
        <v>161.0</v>
      </c>
      <c r="F79" s="18">
        <v>2.0</v>
      </c>
      <c r="G79" s="5">
        <f t="shared" si="27"/>
        <v>0.4952</v>
      </c>
      <c r="H79" s="5">
        <f t="shared" si="28"/>
        <v>0.3762</v>
      </c>
      <c r="I79" s="22">
        <f t="shared" si="29"/>
        <v>0.4357</v>
      </c>
      <c r="J79" s="8">
        <f>J75/J77</f>
        <v>1.636363636</v>
      </c>
    </row>
    <row r="80">
      <c r="A80" s="17">
        <v>7.0</v>
      </c>
      <c r="B80" s="1">
        <v>0.0</v>
      </c>
      <c r="C80" s="1">
        <v>92.0</v>
      </c>
      <c r="D80" s="1">
        <v>0.0</v>
      </c>
      <c r="E80" s="1">
        <v>26.0</v>
      </c>
      <c r="F80" s="1">
        <v>27.0</v>
      </c>
      <c r="G80" s="5">
        <f t="shared" si="27"/>
        <v>0.1624</v>
      </c>
      <c r="H80" s="5">
        <f t="shared" si="28"/>
        <v>0.1492</v>
      </c>
      <c r="I80" s="24">
        <f t="shared" si="29"/>
        <v>0.1558</v>
      </c>
      <c r="J80" s="10" t="s">
        <v>27</v>
      </c>
    </row>
    <row r="81">
      <c r="A81" s="17">
        <v>8.0</v>
      </c>
      <c r="B81" s="1">
        <v>0.0</v>
      </c>
      <c r="C81" s="1">
        <v>57.0</v>
      </c>
      <c r="D81" s="1">
        <v>1.0</v>
      </c>
      <c r="E81" s="1">
        <v>100.0</v>
      </c>
      <c r="F81" s="1">
        <v>33.0</v>
      </c>
      <c r="G81" s="5">
        <f t="shared" si="27"/>
        <v>0.1194</v>
      </c>
      <c r="H81" s="5">
        <f t="shared" si="28"/>
        <v>0.178</v>
      </c>
      <c r="I81" s="25">
        <f t="shared" si="29"/>
        <v>0.1487</v>
      </c>
      <c r="J81" s="13">
        <f>J77/J75</f>
        <v>0.6111111111</v>
      </c>
    </row>
    <row r="82">
      <c r="A82" s="17">
        <v>9.0</v>
      </c>
      <c r="B82" s="1">
        <v>3.0</v>
      </c>
      <c r="C82" s="1">
        <v>480.0</v>
      </c>
      <c r="D82" s="1">
        <v>1.0</v>
      </c>
      <c r="E82" s="1">
        <v>145.0</v>
      </c>
      <c r="F82" s="1">
        <v>12.0</v>
      </c>
      <c r="G82" s="5">
        <f t="shared" si="27"/>
        <v>0.48</v>
      </c>
      <c r="H82" s="5">
        <f t="shared" si="28"/>
        <v>0.313</v>
      </c>
      <c r="I82" s="23">
        <f t="shared" si="29"/>
        <v>0.3965</v>
      </c>
    </row>
    <row r="83">
      <c r="A83" s="17">
        <v>10.0</v>
      </c>
      <c r="B83" s="1">
        <v>6.0</v>
      </c>
      <c r="C83" s="1">
        <v>540.0</v>
      </c>
      <c r="D83" s="1">
        <v>2.0</v>
      </c>
      <c r="E83" s="1">
        <v>151.0</v>
      </c>
      <c r="F83" s="1">
        <v>7.0</v>
      </c>
      <c r="G83" s="5">
        <f t="shared" si="27"/>
        <v>0.672</v>
      </c>
      <c r="H83" s="5">
        <f t="shared" si="28"/>
        <v>0.3942</v>
      </c>
      <c r="I83" s="23">
        <f t="shared" si="29"/>
        <v>0.5331</v>
      </c>
    </row>
    <row r="84">
      <c r="A84" s="1" t="s">
        <v>33</v>
      </c>
      <c r="B84" s="6">
        <f>SUM(B74:B83)</f>
        <v>18</v>
      </c>
      <c r="C84" s="16">
        <f>AVERAGE(C74:C83)</f>
        <v>251.5</v>
      </c>
      <c r="D84" s="6">
        <f>SUM(D74:D83)</f>
        <v>11</v>
      </c>
      <c r="E84" s="6">
        <f t="shared" ref="E84:F84" si="30">AVERAGE(E74:E83)</f>
        <v>135.6</v>
      </c>
      <c r="F84" s="6">
        <f t="shared" si="30"/>
        <v>17.1</v>
      </c>
      <c r="G84" s="5">
        <f t="shared" ref="G84:I84" si="31">Average(G74:G83)</f>
        <v>0.3437</v>
      </c>
      <c r="H84" s="5">
        <f t="shared" si="31"/>
        <v>0.28552</v>
      </c>
      <c r="I84" s="5">
        <f t="shared" si="31"/>
        <v>0.31461</v>
      </c>
    </row>
    <row r="85">
      <c r="I85" s="5"/>
    </row>
    <row r="86">
      <c r="A86" s="1"/>
      <c r="B86" s="1" t="s">
        <v>0</v>
      </c>
      <c r="C86" s="1" t="s">
        <v>61</v>
      </c>
      <c r="D86" s="1" t="s">
        <v>2</v>
      </c>
      <c r="E86" s="1" t="str">
        <f>"Game on " &amp; MATCH(MAX(I88:I97), I88:I97, 0) + ROW(I88) - 1 &amp; ". row"
</f>
        <v>Game on 94. row</v>
      </c>
      <c r="F86" s="1"/>
      <c r="I86" s="5"/>
    </row>
    <row r="87">
      <c r="A87" s="1" t="s">
        <v>62</v>
      </c>
      <c r="B87" s="1" t="s">
        <v>4</v>
      </c>
      <c r="C87" s="1" t="s">
        <v>5</v>
      </c>
      <c r="D87" s="1" t="s">
        <v>6</v>
      </c>
      <c r="E87" s="1" t="s">
        <v>7</v>
      </c>
      <c r="F87" s="1" t="s">
        <v>8</v>
      </c>
      <c r="G87" s="26"/>
      <c r="H87" s="26"/>
      <c r="I87" s="5"/>
    </row>
    <row r="88">
      <c r="A88" s="17">
        <v>1.0</v>
      </c>
      <c r="B88" s="27">
        <v>0.0</v>
      </c>
      <c r="C88" s="27">
        <v>19.0</v>
      </c>
      <c r="D88" s="27">
        <v>0.0</v>
      </c>
      <c r="E88" s="27">
        <v>0.0</v>
      </c>
      <c r="F88" s="27">
        <v>37.0</v>
      </c>
      <c r="G88" s="5">
        <f t="shared" ref="G88:G97" si="32">(B88*0.5 + C88/100*0.2 + (51 - F88)/5*0.3)/10</f>
        <v>0.0878</v>
      </c>
      <c r="H88" s="5">
        <f t="shared" ref="H88:H97" si="33">(D88*0.5 + E88/100*0.2 + (51 - F88)/5*0.3)/10</f>
        <v>0.084</v>
      </c>
      <c r="I88" s="19">
        <f t="shared" ref="I88:I97" si="34">AVERAGE(G88,H88)</f>
        <v>0.0859</v>
      </c>
      <c r="J88" s="1" t="s">
        <v>15</v>
      </c>
    </row>
    <row r="89">
      <c r="A89" s="17">
        <v>2.0</v>
      </c>
      <c r="B89" s="27">
        <v>0.0</v>
      </c>
      <c r="C89" s="27">
        <v>31.0</v>
      </c>
      <c r="D89" s="27">
        <v>0.0</v>
      </c>
      <c r="E89" s="27">
        <v>0.0</v>
      </c>
      <c r="F89" s="27">
        <v>16.0</v>
      </c>
      <c r="G89" s="5">
        <f t="shared" si="32"/>
        <v>0.2162</v>
      </c>
      <c r="H89" s="5">
        <f t="shared" si="33"/>
        <v>0.21</v>
      </c>
      <c r="I89" s="20">
        <f t="shared" si="34"/>
        <v>0.2131</v>
      </c>
      <c r="J89" s="6">
        <f>B98/10</f>
        <v>0.2</v>
      </c>
    </row>
    <row r="90">
      <c r="A90" s="17">
        <v>3.0</v>
      </c>
      <c r="B90" s="27">
        <v>0.0</v>
      </c>
      <c r="C90" s="27">
        <v>236.0</v>
      </c>
      <c r="D90" s="27">
        <v>0.0</v>
      </c>
      <c r="E90" s="27">
        <v>0.0</v>
      </c>
      <c r="F90" s="27">
        <v>15.0</v>
      </c>
      <c r="G90" s="5">
        <f t="shared" si="32"/>
        <v>0.2632</v>
      </c>
      <c r="H90" s="5">
        <f t="shared" si="33"/>
        <v>0.216</v>
      </c>
      <c r="I90" s="21">
        <f t="shared" si="34"/>
        <v>0.2396</v>
      </c>
      <c r="J90" s="1" t="s">
        <v>19</v>
      </c>
    </row>
    <row r="91">
      <c r="A91" s="17">
        <v>4.0</v>
      </c>
      <c r="B91" s="27">
        <v>2.0</v>
      </c>
      <c r="C91" s="27">
        <v>197.0</v>
      </c>
      <c r="D91" s="27">
        <v>0.0</v>
      </c>
      <c r="E91" s="27">
        <v>36.0</v>
      </c>
      <c r="F91" s="27">
        <v>14.0</v>
      </c>
      <c r="G91" s="5">
        <f t="shared" si="32"/>
        <v>0.3614</v>
      </c>
      <c r="H91" s="5">
        <f t="shared" si="33"/>
        <v>0.2292</v>
      </c>
      <c r="I91" s="22">
        <f t="shared" si="34"/>
        <v>0.2953</v>
      </c>
      <c r="J91" s="6">
        <f>D98/10</f>
        <v>0.1</v>
      </c>
    </row>
    <row r="92">
      <c r="A92" s="17">
        <v>5.0</v>
      </c>
      <c r="B92" s="27">
        <v>0.0</v>
      </c>
      <c r="C92" s="27">
        <v>165.0</v>
      </c>
      <c r="D92" s="27">
        <v>0.0</v>
      </c>
      <c r="E92" s="27">
        <v>49.0</v>
      </c>
      <c r="F92" s="27">
        <v>31.0</v>
      </c>
      <c r="G92" s="5">
        <f t="shared" si="32"/>
        <v>0.153</v>
      </c>
      <c r="H92" s="5">
        <f t="shared" si="33"/>
        <v>0.1298</v>
      </c>
      <c r="I92" s="23">
        <f t="shared" si="34"/>
        <v>0.1414</v>
      </c>
      <c r="J92" s="7" t="s">
        <v>23</v>
      </c>
    </row>
    <row r="93">
      <c r="A93" s="17">
        <v>6.0</v>
      </c>
      <c r="B93" s="27">
        <v>0.0</v>
      </c>
      <c r="C93" s="27">
        <v>100.0</v>
      </c>
      <c r="D93" s="27">
        <v>0.0</v>
      </c>
      <c r="E93" s="27">
        <v>0.0</v>
      </c>
      <c r="F93" s="27">
        <v>10.0</v>
      </c>
      <c r="G93" s="5">
        <f t="shared" si="32"/>
        <v>0.266</v>
      </c>
      <c r="H93" s="5">
        <f t="shared" si="33"/>
        <v>0.246</v>
      </c>
      <c r="I93" s="22">
        <f t="shared" si="34"/>
        <v>0.256</v>
      </c>
      <c r="J93" s="8">
        <f>J89/J91</f>
        <v>2</v>
      </c>
    </row>
    <row r="94">
      <c r="A94" s="17">
        <v>7.0</v>
      </c>
      <c r="B94" s="27">
        <v>0.0</v>
      </c>
      <c r="C94" s="27">
        <v>460.0</v>
      </c>
      <c r="D94" s="27">
        <v>1.0</v>
      </c>
      <c r="E94" s="27">
        <v>287.0</v>
      </c>
      <c r="F94" s="27">
        <v>4.0</v>
      </c>
      <c r="G94" s="5">
        <f t="shared" si="32"/>
        <v>0.374</v>
      </c>
      <c r="H94" s="5">
        <f t="shared" si="33"/>
        <v>0.3894</v>
      </c>
      <c r="I94" s="24">
        <f t="shared" si="34"/>
        <v>0.3817</v>
      </c>
      <c r="J94" s="10" t="s">
        <v>27</v>
      </c>
    </row>
    <row r="95">
      <c r="A95" s="17">
        <v>8.0</v>
      </c>
      <c r="B95" s="27">
        <v>0.0</v>
      </c>
      <c r="C95" s="27">
        <v>12.0</v>
      </c>
      <c r="D95" s="27">
        <v>0.0</v>
      </c>
      <c r="E95" s="27">
        <v>38.0</v>
      </c>
      <c r="F95" s="27">
        <v>26.0</v>
      </c>
      <c r="G95" s="5">
        <f t="shared" si="32"/>
        <v>0.1524</v>
      </c>
      <c r="H95" s="5">
        <f t="shared" si="33"/>
        <v>0.1576</v>
      </c>
      <c r="I95" s="25">
        <f t="shared" si="34"/>
        <v>0.155</v>
      </c>
      <c r="J95" s="13">
        <f>J91/J89</f>
        <v>0.5</v>
      </c>
    </row>
    <row r="96">
      <c r="A96" s="17">
        <v>9.0</v>
      </c>
      <c r="B96" s="27">
        <v>0.0</v>
      </c>
      <c r="C96" s="27">
        <v>89.0</v>
      </c>
      <c r="D96" s="27">
        <v>0.0</v>
      </c>
      <c r="E96" s="27">
        <v>103.0</v>
      </c>
      <c r="F96" s="27">
        <v>29.0</v>
      </c>
      <c r="G96" s="5">
        <f t="shared" si="32"/>
        <v>0.1498</v>
      </c>
      <c r="H96" s="5">
        <f t="shared" si="33"/>
        <v>0.1526</v>
      </c>
      <c r="I96" s="23">
        <f t="shared" si="34"/>
        <v>0.1512</v>
      </c>
    </row>
    <row r="97">
      <c r="A97" s="17">
        <v>10.0</v>
      </c>
      <c r="B97" s="27">
        <v>0.0</v>
      </c>
      <c r="C97" s="27">
        <v>0.0</v>
      </c>
      <c r="D97" s="27">
        <v>0.0</v>
      </c>
      <c r="E97" s="27">
        <v>96.0</v>
      </c>
      <c r="F97" s="27">
        <v>42.0</v>
      </c>
      <c r="G97" s="5">
        <f t="shared" si="32"/>
        <v>0.054</v>
      </c>
      <c r="H97" s="5">
        <f t="shared" si="33"/>
        <v>0.0732</v>
      </c>
      <c r="I97" s="23">
        <f t="shared" si="34"/>
        <v>0.0636</v>
      </c>
    </row>
    <row r="98">
      <c r="A98" s="27" t="s">
        <v>33</v>
      </c>
      <c r="B98" s="28">
        <f>SUM(B88:B97)</f>
        <v>2</v>
      </c>
      <c r="C98" s="29">
        <f>AVERAGE(C88:C97)</f>
        <v>130.9</v>
      </c>
      <c r="D98" s="29">
        <f>SUM(D88:D97)</f>
        <v>1</v>
      </c>
      <c r="E98" s="29">
        <f t="shared" ref="E98:F98" si="35">AVERAGE(E88:E97)</f>
        <v>60.9</v>
      </c>
      <c r="F98" s="29">
        <f t="shared" si="35"/>
        <v>22.4</v>
      </c>
      <c r="G98" s="5">
        <f t="shared" ref="G98:I98" si="36">Average(G88:G97)</f>
        <v>0.20778</v>
      </c>
      <c r="H98" s="5">
        <f t="shared" si="36"/>
        <v>0.18878</v>
      </c>
      <c r="I98" s="5">
        <f t="shared" si="36"/>
        <v>0.19828</v>
      </c>
    </row>
    <row r="99">
      <c r="I99" s="5"/>
    </row>
    <row r="100">
      <c r="A100" s="1"/>
      <c r="B100" s="1" t="s">
        <v>0</v>
      </c>
      <c r="C100" s="1" t="s">
        <v>63</v>
      </c>
      <c r="D100" s="1" t="s">
        <v>2</v>
      </c>
      <c r="E100" s="1" t="str">
        <f>"Game on " &amp; MATCH(MAX(I102:I111), I102:I111, 0) + ROW(I102) - 1 &amp; ". row"
</f>
        <v>Game on 108. row</v>
      </c>
      <c r="F100" s="1"/>
      <c r="I100" s="5"/>
    </row>
    <row r="101">
      <c r="A101" s="1" t="s">
        <v>64</v>
      </c>
      <c r="B101" s="1" t="s">
        <v>4</v>
      </c>
      <c r="C101" s="1" t="s">
        <v>5</v>
      </c>
      <c r="D101" s="1" t="s">
        <v>6</v>
      </c>
      <c r="E101" s="1" t="s">
        <v>7</v>
      </c>
      <c r="F101" s="1" t="s">
        <v>8</v>
      </c>
      <c r="G101" s="26"/>
      <c r="H101" s="26"/>
      <c r="I101" s="5"/>
    </row>
    <row r="102">
      <c r="A102" s="17">
        <v>1.0</v>
      </c>
      <c r="B102" s="27">
        <v>1.0</v>
      </c>
      <c r="C102" s="27">
        <v>261.0</v>
      </c>
      <c r="D102" s="27">
        <v>1.0</v>
      </c>
      <c r="E102" s="27">
        <v>169.0</v>
      </c>
      <c r="F102" s="27">
        <v>9.0</v>
      </c>
      <c r="G102" s="5">
        <f t="shared" ref="G102:G111" si="37">(B102*0.5 + C102/100*0.2 + (51 - F102)/5*0.3)/10</f>
        <v>0.3542</v>
      </c>
      <c r="H102" s="5">
        <f t="shared" ref="H102:H111" si="38">(D102*0.5 + E102/100*0.2 + (51 - F102)/5*0.3)/10</f>
        <v>0.3358</v>
      </c>
      <c r="I102" s="19">
        <f t="shared" ref="I102:I111" si="39">AVERAGE(G102,H102)</f>
        <v>0.345</v>
      </c>
      <c r="J102" s="1" t="s">
        <v>15</v>
      </c>
    </row>
    <row r="103">
      <c r="A103" s="17">
        <v>2.0</v>
      </c>
      <c r="B103" s="27">
        <v>0.0</v>
      </c>
      <c r="C103" s="27">
        <v>0.0</v>
      </c>
      <c r="D103" s="27">
        <v>0.0</v>
      </c>
      <c r="E103" s="27">
        <v>34.0</v>
      </c>
      <c r="F103" s="27">
        <v>39.0</v>
      </c>
      <c r="G103" s="5">
        <f t="shared" si="37"/>
        <v>0.072</v>
      </c>
      <c r="H103" s="5">
        <f t="shared" si="38"/>
        <v>0.0788</v>
      </c>
      <c r="I103" s="20">
        <f t="shared" si="39"/>
        <v>0.0754</v>
      </c>
      <c r="J103" s="6">
        <f>B112/10</f>
        <v>1.6</v>
      </c>
    </row>
    <row r="104">
      <c r="A104" s="17">
        <v>3.0</v>
      </c>
      <c r="B104" s="27">
        <v>2.0</v>
      </c>
      <c r="C104" s="27">
        <v>166.0</v>
      </c>
      <c r="D104" s="27">
        <v>0.0</v>
      </c>
      <c r="E104" s="27">
        <v>0.0</v>
      </c>
      <c r="F104" s="27">
        <v>7.0</v>
      </c>
      <c r="G104" s="5">
        <f t="shared" si="37"/>
        <v>0.3972</v>
      </c>
      <c r="H104" s="5">
        <f t="shared" si="38"/>
        <v>0.264</v>
      </c>
      <c r="I104" s="21">
        <f t="shared" si="39"/>
        <v>0.3306</v>
      </c>
      <c r="J104" s="1" t="s">
        <v>19</v>
      </c>
    </row>
    <row r="105">
      <c r="A105" s="17">
        <v>4.0</v>
      </c>
      <c r="B105" s="27">
        <v>0.0</v>
      </c>
      <c r="C105" s="27">
        <v>0.0</v>
      </c>
      <c r="D105" s="27">
        <v>0.0</v>
      </c>
      <c r="E105" s="27">
        <v>69.0</v>
      </c>
      <c r="F105" s="27">
        <v>33.0</v>
      </c>
      <c r="G105" s="5">
        <f t="shared" si="37"/>
        <v>0.108</v>
      </c>
      <c r="H105" s="5">
        <f t="shared" si="38"/>
        <v>0.1218</v>
      </c>
      <c r="I105" s="22">
        <f t="shared" si="39"/>
        <v>0.1149</v>
      </c>
      <c r="J105" s="6">
        <f>D112/10</f>
        <v>0.3</v>
      </c>
    </row>
    <row r="106">
      <c r="A106" s="17">
        <v>5.0</v>
      </c>
      <c r="B106" s="27">
        <v>3.0</v>
      </c>
      <c r="C106" s="27">
        <v>172.0</v>
      </c>
      <c r="D106" s="27">
        <v>1.0</v>
      </c>
      <c r="E106" s="27">
        <v>212.0</v>
      </c>
      <c r="F106" s="27">
        <v>14.0</v>
      </c>
      <c r="G106" s="5">
        <f t="shared" si="37"/>
        <v>0.4064</v>
      </c>
      <c r="H106" s="5">
        <f t="shared" si="38"/>
        <v>0.3144</v>
      </c>
      <c r="I106" s="23">
        <f t="shared" si="39"/>
        <v>0.3604</v>
      </c>
      <c r="J106" s="7" t="s">
        <v>23</v>
      </c>
    </row>
    <row r="107">
      <c r="A107" s="17">
        <v>6.0</v>
      </c>
      <c r="B107" s="27">
        <v>0.0</v>
      </c>
      <c r="C107" s="27">
        <v>149.0</v>
      </c>
      <c r="D107" s="27">
        <v>0.0</v>
      </c>
      <c r="E107" s="27">
        <v>0.0</v>
      </c>
      <c r="F107" s="27">
        <v>14.0</v>
      </c>
      <c r="G107" s="5">
        <f t="shared" si="37"/>
        <v>0.2518</v>
      </c>
      <c r="H107" s="5">
        <f t="shared" si="38"/>
        <v>0.222</v>
      </c>
      <c r="I107" s="22">
        <f t="shared" si="39"/>
        <v>0.2369</v>
      </c>
      <c r="J107" s="8">
        <f>J103/J105</f>
        <v>5.333333333</v>
      </c>
    </row>
    <row r="108">
      <c r="A108" s="17">
        <v>7.0</v>
      </c>
      <c r="B108" s="27">
        <v>3.0</v>
      </c>
      <c r="C108" s="27">
        <v>357.0</v>
      </c>
      <c r="D108" s="27">
        <v>1.0</v>
      </c>
      <c r="E108" s="27">
        <v>107.0</v>
      </c>
      <c r="F108" s="27">
        <v>14.0</v>
      </c>
      <c r="G108" s="5">
        <f t="shared" si="37"/>
        <v>0.4434</v>
      </c>
      <c r="H108" s="5">
        <f t="shared" si="38"/>
        <v>0.2934</v>
      </c>
      <c r="I108" s="24">
        <f t="shared" si="39"/>
        <v>0.3684</v>
      </c>
      <c r="J108" s="10" t="s">
        <v>27</v>
      </c>
    </row>
    <row r="109">
      <c r="A109" s="17">
        <v>8.0</v>
      </c>
      <c r="B109" s="27">
        <v>1.0</v>
      </c>
      <c r="C109" s="27">
        <v>425.0</v>
      </c>
      <c r="D109" s="27">
        <v>0.0</v>
      </c>
      <c r="E109" s="27">
        <v>87.0</v>
      </c>
      <c r="F109" s="27">
        <v>7.0</v>
      </c>
      <c r="G109" s="5">
        <f t="shared" si="37"/>
        <v>0.399</v>
      </c>
      <c r="H109" s="5">
        <f t="shared" si="38"/>
        <v>0.2814</v>
      </c>
      <c r="I109" s="25">
        <f t="shared" si="39"/>
        <v>0.3402</v>
      </c>
      <c r="J109" s="13">
        <f>J105/J103</f>
        <v>0.1875</v>
      </c>
    </row>
    <row r="110">
      <c r="A110" s="17">
        <v>9.0</v>
      </c>
      <c r="B110" s="27">
        <v>4.0</v>
      </c>
      <c r="C110" s="27">
        <v>211.0</v>
      </c>
      <c r="D110" s="27">
        <v>0.0</v>
      </c>
      <c r="E110" s="27">
        <v>0.0</v>
      </c>
      <c r="F110" s="27">
        <v>19.0</v>
      </c>
      <c r="G110" s="5">
        <f t="shared" si="37"/>
        <v>0.4342</v>
      </c>
      <c r="H110" s="5">
        <f t="shared" si="38"/>
        <v>0.192</v>
      </c>
      <c r="I110" s="23">
        <f t="shared" si="39"/>
        <v>0.3131</v>
      </c>
    </row>
    <row r="111">
      <c r="A111" s="17">
        <v>10.0</v>
      </c>
      <c r="B111" s="27">
        <v>2.0</v>
      </c>
      <c r="C111" s="27">
        <v>298.0</v>
      </c>
      <c r="D111" s="27">
        <v>0.0</v>
      </c>
      <c r="E111" s="27">
        <v>0.0</v>
      </c>
      <c r="F111" s="27">
        <v>35.0</v>
      </c>
      <c r="G111" s="5">
        <f t="shared" si="37"/>
        <v>0.2556</v>
      </c>
      <c r="H111" s="5">
        <f t="shared" si="38"/>
        <v>0.096</v>
      </c>
      <c r="I111" s="23">
        <f t="shared" si="39"/>
        <v>0.1758</v>
      </c>
    </row>
    <row r="112">
      <c r="A112" s="27" t="s">
        <v>33</v>
      </c>
      <c r="B112" s="28">
        <f>SUM(B102:B111)</f>
        <v>16</v>
      </c>
      <c r="C112" s="29">
        <f>AVERAGE(C102:C111)</f>
        <v>203.9</v>
      </c>
      <c r="D112" s="29">
        <f>SUM(D102:D111)</f>
        <v>3</v>
      </c>
      <c r="E112" s="29">
        <f t="shared" ref="E112:F112" si="40">AVERAGE(E102:E111)</f>
        <v>67.8</v>
      </c>
      <c r="F112" s="29">
        <f t="shared" si="40"/>
        <v>19.1</v>
      </c>
      <c r="G112" s="5">
        <f t="shared" ref="G112:I112" si="41">Average(G102:G111)</f>
        <v>0.31218</v>
      </c>
      <c r="H112" s="5">
        <f t="shared" si="41"/>
        <v>0.21996</v>
      </c>
      <c r="I112" s="5">
        <f t="shared" si="41"/>
        <v>0.26607</v>
      </c>
    </row>
    <row r="113">
      <c r="I113" s="5"/>
    </row>
    <row r="114">
      <c r="A114" s="1"/>
      <c r="B114" s="1" t="s">
        <v>0</v>
      </c>
      <c r="C114" s="1" t="s">
        <v>65</v>
      </c>
      <c r="D114" s="1" t="s">
        <v>2</v>
      </c>
      <c r="E114" s="1" t="str">
        <f>"Game on " &amp; MATCH(MAX(I116:I125), I116:I125, 0) + ROW(I116) - 1 &amp; ". row"
</f>
        <v>Game on 121. row</v>
      </c>
      <c r="F114" s="1"/>
      <c r="I114" s="5"/>
    </row>
    <row r="115">
      <c r="A115" s="1" t="s">
        <v>66</v>
      </c>
      <c r="B115" s="1" t="s">
        <v>4</v>
      </c>
      <c r="C115" s="1" t="s">
        <v>5</v>
      </c>
      <c r="D115" s="1" t="s">
        <v>6</v>
      </c>
      <c r="E115" s="1" t="s">
        <v>7</v>
      </c>
      <c r="F115" s="1" t="s">
        <v>8</v>
      </c>
      <c r="G115" s="26"/>
      <c r="H115" s="26"/>
      <c r="I115" s="30"/>
      <c r="J115" s="26"/>
    </row>
    <row r="116">
      <c r="A116" s="17">
        <v>1.0</v>
      </c>
      <c r="B116" s="27">
        <v>2.0</v>
      </c>
      <c r="C116" s="27">
        <v>174.0</v>
      </c>
      <c r="D116" s="27">
        <v>0.0</v>
      </c>
      <c r="E116" s="27">
        <v>26.0</v>
      </c>
      <c r="F116" s="27">
        <v>35.0</v>
      </c>
      <c r="G116" s="5">
        <f t="shared" ref="G116:G125" si="42">(B116*0.5 + C116/100*0.2 + (51 - F116)/5*0.3)/10</f>
        <v>0.2308</v>
      </c>
      <c r="H116" s="5">
        <f t="shared" ref="H116:H125" si="43">(D116*0.5 + E116/100*0.2 + (51 - F116)/5*0.3)/10</f>
        <v>0.1012</v>
      </c>
      <c r="I116" s="19">
        <f t="shared" ref="I116:I125" si="44">AVERAGE(G116,H116)</f>
        <v>0.166</v>
      </c>
      <c r="J116" s="1" t="s">
        <v>15</v>
      </c>
    </row>
    <row r="117">
      <c r="A117" s="17">
        <v>2.0</v>
      </c>
      <c r="B117" s="27">
        <v>0.0</v>
      </c>
      <c r="C117" s="27">
        <v>100.0</v>
      </c>
      <c r="D117" s="27">
        <v>1.0</v>
      </c>
      <c r="E117" s="27">
        <v>29.0</v>
      </c>
      <c r="F117" s="27">
        <v>39.0</v>
      </c>
      <c r="G117" s="5">
        <f t="shared" si="42"/>
        <v>0.092</v>
      </c>
      <c r="H117" s="5">
        <f t="shared" si="43"/>
        <v>0.1278</v>
      </c>
      <c r="I117" s="20">
        <f t="shared" si="44"/>
        <v>0.1099</v>
      </c>
      <c r="J117" s="6">
        <f>B126/10</f>
        <v>1.3</v>
      </c>
    </row>
    <row r="118">
      <c r="A118" s="17">
        <v>3.0</v>
      </c>
      <c r="B118" s="27">
        <v>0.0</v>
      </c>
      <c r="C118" s="27">
        <v>164.0</v>
      </c>
      <c r="D118" s="27">
        <v>2.0</v>
      </c>
      <c r="E118" s="27">
        <v>224.0</v>
      </c>
      <c r="F118" s="27">
        <v>7.0</v>
      </c>
      <c r="G118" s="5">
        <f t="shared" si="42"/>
        <v>0.2968</v>
      </c>
      <c r="H118" s="5">
        <f t="shared" si="43"/>
        <v>0.4088</v>
      </c>
      <c r="I118" s="21">
        <f t="shared" si="44"/>
        <v>0.3528</v>
      </c>
      <c r="J118" s="1" t="s">
        <v>19</v>
      </c>
    </row>
    <row r="119">
      <c r="A119" s="17">
        <v>4.0</v>
      </c>
      <c r="B119" s="27">
        <v>0.0</v>
      </c>
      <c r="C119" s="27">
        <v>83.0</v>
      </c>
      <c r="D119" s="27">
        <v>0.0</v>
      </c>
      <c r="E119" s="27">
        <v>33.0</v>
      </c>
      <c r="F119" s="27">
        <v>11.0</v>
      </c>
      <c r="G119" s="5">
        <f t="shared" si="42"/>
        <v>0.2566</v>
      </c>
      <c r="H119" s="5">
        <f t="shared" si="43"/>
        <v>0.2466</v>
      </c>
      <c r="I119" s="22">
        <f t="shared" si="44"/>
        <v>0.2516</v>
      </c>
      <c r="J119" s="6">
        <f>D126/10</f>
        <v>1.4</v>
      </c>
    </row>
    <row r="120">
      <c r="A120" s="17">
        <v>5.0</v>
      </c>
      <c r="B120" s="27">
        <v>0.0</v>
      </c>
      <c r="C120" s="27">
        <v>98.0</v>
      </c>
      <c r="D120" s="27">
        <v>0.0</v>
      </c>
      <c r="E120" s="27">
        <v>53.0</v>
      </c>
      <c r="F120" s="27">
        <v>17.0</v>
      </c>
      <c r="G120" s="5">
        <f t="shared" si="42"/>
        <v>0.2236</v>
      </c>
      <c r="H120" s="5">
        <f t="shared" si="43"/>
        <v>0.2146</v>
      </c>
      <c r="I120" s="23">
        <f t="shared" si="44"/>
        <v>0.2191</v>
      </c>
      <c r="J120" s="7" t="s">
        <v>23</v>
      </c>
    </row>
    <row r="121">
      <c r="A121" s="17">
        <v>6.0</v>
      </c>
      <c r="B121" s="27">
        <v>5.0</v>
      </c>
      <c r="C121" s="27">
        <v>426.0</v>
      </c>
      <c r="D121" s="27">
        <v>4.0</v>
      </c>
      <c r="E121" s="27">
        <v>400.0</v>
      </c>
      <c r="F121" s="27">
        <v>11.0</v>
      </c>
      <c r="G121" s="5">
        <f t="shared" si="42"/>
        <v>0.5752</v>
      </c>
      <c r="H121" s="5">
        <f t="shared" si="43"/>
        <v>0.52</v>
      </c>
      <c r="I121" s="22">
        <f t="shared" si="44"/>
        <v>0.5476</v>
      </c>
      <c r="J121" s="8">
        <f>J117/J119</f>
        <v>0.9285714286</v>
      </c>
    </row>
    <row r="122">
      <c r="A122" s="17">
        <v>7.0</v>
      </c>
      <c r="B122" s="27">
        <v>0.0</v>
      </c>
      <c r="C122" s="27">
        <v>142.0</v>
      </c>
      <c r="D122" s="27">
        <v>2.0</v>
      </c>
      <c r="E122" s="27">
        <v>112.0</v>
      </c>
      <c r="F122" s="27">
        <v>33.0</v>
      </c>
      <c r="G122" s="5">
        <f t="shared" si="42"/>
        <v>0.1364</v>
      </c>
      <c r="H122" s="5">
        <f t="shared" si="43"/>
        <v>0.2304</v>
      </c>
      <c r="I122" s="24">
        <f t="shared" si="44"/>
        <v>0.1834</v>
      </c>
      <c r="J122" s="10" t="s">
        <v>27</v>
      </c>
    </row>
    <row r="123">
      <c r="A123" s="17">
        <v>8.0</v>
      </c>
      <c r="B123" s="27">
        <v>2.0</v>
      </c>
      <c r="C123" s="27">
        <v>293.0</v>
      </c>
      <c r="D123" s="27">
        <v>0.0</v>
      </c>
      <c r="E123" s="27">
        <v>117.0</v>
      </c>
      <c r="F123" s="27">
        <v>39.0</v>
      </c>
      <c r="G123" s="5">
        <f t="shared" si="42"/>
        <v>0.2306</v>
      </c>
      <c r="H123" s="5">
        <f t="shared" si="43"/>
        <v>0.0954</v>
      </c>
      <c r="I123" s="25">
        <f t="shared" si="44"/>
        <v>0.163</v>
      </c>
      <c r="J123" s="13">
        <f>J119/J117</f>
        <v>1.076923077</v>
      </c>
    </row>
    <row r="124">
      <c r="A124" s="17">
        <v>9.0</v>
      </c>
      <c r="B124" s="27">
        <v>0.0</v>
      </c>
      <c r="C124" s="27">
        <v>191.0</v>
      </c>
      <c r="D124" s="27">
        <v>4.0</v>
      </c>
      <c r="E124" s="27">
        <v>337.0</v>
      </c>
      <c r="F124" s="27">
        <v>2.0</v>
      </c>
      <c r="G124" s="5">
        <f t="shared" si="42"/>
        <v>0.3322</v>
      </c>
      <c r="H124" s="5">
        <f t="shared" si="43"/>
        <v>0.5614</v>
      </c>
      <c r="I124" s="23">
        <f t="shared" si="44"/>
        <v>0.4468</v>
      </c>
      <c r="J124" s="31"/>
    </row>
    <row r="125">
      <c r="A125" s="17">
        <v>10.0</v>
      </c>
      <c r="B125" s="27">
        <v>4.0</v>
      </c>
      <c r="C125" s="27">
        <v>363.0</v>
      </c>
      <c r="D125" s="27">
        <v>1.0</v>
      </c>
      <c r="E125" s="27">
        <v>169.0</v>
      </c>
      <c r="F125" s="27">
        <v>1.0</v>
      </c>
      <c r="G125" s="5">
        <f t="shared" si="42"/>
        <v>0.5726</v>
      </c>
      <c r="H125" s="5">
        <f t="shared" si="43"/>
        <v>0.3838</v>
      </c>
      <c r="I125" s="23">
        <f t="shared" si="44"/>
        <v>0.4782</v>
      </c>
      <c r="J125" s="31"/>
    </row>
    <row r="126">
      <c r="A126" s="27" t="s">
        <v>33</v>
      </c>
      <c r="B126" s="28">
        <f>SUM(B116:B125)</f>
        <v>13</v>
      </c>
      <c r="C126" s="29">
        <f>AVERAGE(C116:C125)</f>
        <v>203.4</v>
      </c>
      <c r="D126" s="29">
        <f>SUM(D116:D125)</f>
        <v>14</v>
      </c>
      <c r="E126" s="29">
        <f t="shared" ref="E126:F126" si="45">AVERAGE(E116:E125)</f>
        <v>150</v>
      </c>
      <c r="F126" s="29">
        <f t="shared" si="45"/>
        <v>19.5</v>
      </c>
      <c r="G126" s="5">
        <f t="shared" ref="G126:I126" si="46">Average(G116:G125)</f>
        <v>0.29468</v>
      </c>
      <c r="H126" s="5">
        <f t="shared" si="46"/>
        <v>0.289</v>
      </c>
      <c r="I126" s="5">
        <f t="shared" si="46"/>
        <v>0.29184</v>
      </c>
    </row>
    <row r="127">
      <c r="I127" s="5"/>
    </row>
    <row r="128">
      <c r="A128" s="1"/>
      <c r="B128" s="1" t="s">
        <v>0</v>
      </c>
      <c r="C128" s="1" t="s">
        <v>67</v>
      </c>
      <c r="D128" s="1" t="s">
        <v>2</v>
      </c>
      <c r="E128" s="1" t="str">
        <f>"Game on " &amp; MATCH(MAX(I130:I139), I130:I139, 0) + ROW(I130) - 1 &amp; ". row"
</f>
        <v>Game on 139. row</v>
      </c>
      <c r="F128" s="1"/>
      <c r="I128" s="5"/>
    </row>
    <row r="129">
      <c r="A129" s="1" t="s">
        <v>68</v>
      </c>
      <c r="B129" s="1" t="s">
        <v>4</v>
      </c>
      <c r="C129" s="1" t="s">
        <v>5</v>
      </c>
      <c r="D129" s="1" t="s">
        <v>6</v>
      </c>
      <c r="E129" s="1" t="s">
        <v>7</v>
      </c>
      <c r="F129" s="1" t="s">
        <v>8</v>
      </c>
      <c r="G129" s="26"/>
      <c r="H129" s="26"/>
      <c r="I129" s="30"/>
      <c r="J129" s="26"/>
    </row>
    <row r="130">
      <c r="A130" s="17">
        <v>1.0</v>
      </c>
      <c r="B130" s="27">
        <v>0.0</v>
      </c>
      <c r="C130" s="27">
        <v>90.0</v>
      </c>
      <c r="D130" s="27">
        <v>1.0</v>
      </c>
      <c r="E130" s="27">
        <v>412.0</v>
      </c>
      <c r="F130" s="27">
        <v>2.0</v>
      </c>
      <c r="G130" s="5">
        <f t="shared" ref="G130:G139" si="47">(B130*0.5 + C130/100*0.2 + (51 - F130)/5*0.3)/10</f>
        <v>0.312</v>
      </c>
      <c r="H130" s="5">
        <f t="shared" ref="H130:H139" si="48">(D130*0.5 + E130/100*0.2 + (51 - F130)/5*0.3)/10</f>
        <v>0.4264</v>
      </c>
      <c r="I130" s="19">
        <f t="shared" ref="I130:I139" si="49">AVERAGE(G130,H130)</f>
        <v>0.3692</v>
      </c>
      <c r="J130" s="1" t="s">
        <v>15</v>
      </c>
    </row>
    <row r="131">
      <c r="A131" s="17">
        <v>2.0</v>
      </c>
      <c r="B131" s="27">
        <v>0.0</v>
      </c>
      <c r="C131" s="27">
        <v>142.0</v>
      </c>
      <c r="D131" s="27">
        <v>0.0</v>
      </c>
      <c r="E131" s="27">
        <v>0.0</v>
      </c>
      <c r="F131" s="27">
        <v>28.0</v>
      </c>
      <c r="G131" s="5">
        <f t="shared" si="47"/>
        <v>0.1664</v>
      </c>
      <c r="H131" s="5">
        <f t="shared" si="48"/>
        <v>0.138</v>
      </c>
      <c r="I131" s="19">
        <f t="shared" si="49"/>
        <v>0.1522</v>
      </c>
      <c r="J131" s="6">
        <f>B140/10</f>
        <v>0.8</v>
      </c>
    </row>
    <row r="132">
      <c r="A132" s="17">
        <v>3.0</v>
      </c>
      <c r="B132" s="27">
        <v>0.0</v>
      </c>
      <c r="C132" s="27">
        <v>130.0</v>
      </c>
      <c r="D132" s="27">
        <v>0.0</v>
      </c>
      <c r="E132" s="27">
        <v>66.0</v>
      </c>
      <c r="F132" s="27">
        <v>26.0</v>
      </c>
      <c r="G132" s="5">
        <f t="shared" si="47"/>
        <v>0.176</v>
      </c>
      <c r="H132" s="5">
        <f t="shared" si="48"/>
        <v>0.1632</v>
      </c>
      <c r="I132" s="19">
        <f t="shared" si="49"/>
        <v>0.1696</v>
      </c>
      <c r="J132" s="1" t="s">
        <v>19</v>
      </c>
    </row>
    <row r="133">
      <c r="A133" s="17">
        <v>4.0</v>
      </c>
      <c r="B133" s="27">
        <v>0.0</v>
      </c>
      <c r="C133" s="27">
        <v>52.0</v>
      </c>
      <c r="D133" s="27">
        <v>0.0</v>
      </c>
      <c r="E133" s="27">
        <v>24.0</v>
      </c>
      <c r="F133" s="27">
        <v>41.0</v>
      </c>
      <c r="G133" s="5">
        <f t="shared" si="47"/>
        <v>0.0704</v>
      </c>
      <c r="H133" s="5">
        <f t="shared" si="48"/>
        <v>0.0648</v>
      </c>
      <c r="I133" s="19">
        <f t="shared" si="49"/>
        <v>0.0676</v>
      </c>
      <c r="J133" s="6">
        <f>D140/10</f>
        <v>0.4</v>
      </c>
    </row>
    <row r="134">
      <c r="A134" s="17">
        <v>5.0</v>
      </c>
      <c r="B134" s="27">
        <v>0.0</v>
      </c>
      <c r="C134" s="27">
        <v>54.0</v>
      </c>
      <c r="D134" s="27">
        <v>0.0</v>
      </c>
      <c r="E134" s="27">
        <v>68.0</v>
      </c>
      <c r="F134" s="27">
        <v>40.0</v>
      </c>
      <c r="G134" s="5">
        <f t="shared" si="47"/>
        <v>0.0768</v>
      </c>
      <c r="H134" s="5">
        <f t="shared" si="48"/>
        <v>0.0796</v>
      </c>
      <c r="I134" s="19">
        <f t="shared" si="49"/>
        <v>0.0782</v>
      </c>
      <c r="J134" s="7" t="s">
        <v>23</v>
      </c>
    </row>
    <row r="135">
      <c r="A135" s="17">
        <v>6.0</v>
      </c>
      <c r="B135" s="27">
        <v>3.0</v>
      </c>
      <c r="C135" s="27">
        <v>650.0</v>
      </c>
      <c r="D135" s="27">
        <v>0.0</v>
      </c>
      <c r="E135" s="27">
        <v>119.0</v>
      </c>
      <c r="F135" s="27">
        <v>9.0</v>
      </c>
      <c r="G135" s="5">
        <f t="shared" si="47"/>
        <v>0.532</v>
      </c>
      <c r="H135" s="5">
        <f t="shared" si="48"/>
        <v>0.2758</v>
      </c>
      <c r="I135" s="19">
        <f t="shared" si="49"/>
        <v>0.4039</v>
      </c>
      <c r="J135" s="8">
        <f>J131/J133</f>
        <v>2</v>
      </c>
    </row>
    <row r="136">
      <c r="A136" s="17">
        <v>7.0</v>
      </c>
      <c r="B136" s="27">
        <v>2.0</v>
      </c>
      <c r="C136" s="27">
        <v>336.0</v>
      </c>
      <c r="D136" s="27">
        <v>0.0</v>
      </c>
      <c r="E136" s="27">
        <v>0.0</v>
      </c>
      <c r="F136" s="27">
        <v>2.0</v>
      </c>
      <c r="G136" s="5">
        <f t="shared" si="47"/>
        <v>0.4612</v>
      </c>
      <c r="H136" s="5">
        <f t="shared" si="48"/>
        <v>0.294</v>
      </c>
      <c r="I136" s="19">
        <f t="shared" si="49"/>
        <v>0.3776</v>
      </c>
      <c r="J136" s="10" t="s">
        <v>27</v>
      </c>
    </row>
    <row r="137">
      <c r="A137" s="17">
        <v>8.0</v>
      </c>
      <c r="B137" s="27">
        <v>2.0</v>
      </c>
      <c r="C137" s="27">
        <v>313.0</v>
      </c>
      <c r="D137" s="27">
        <v>1.0</v>
      </c>
      <c r="E137" s="27">
        <v>263.0</v>
      </c>
      <c r="F137" s="27">
        <v>13.0</v>
      </c>
      <c r="G137" s="5">
        <f t="shared" si="47"/>
        <v>0.3906</v>
      </c>
      <c r="H137" s="5">
        <f t="shared" si="48"/>
        <v>0.3306</v>
      </c>
      <c r="I137" s="19">
        <f t="shared" si="49"/>
        <v>0.3606</v>
      </c>
      <c r="J137" s="13">
        <f>J133/J131</f>
        <v>0.5</v>
      </c>
    </row>
    <row r="138">
      <c r="A138" s="17">
        <v>9.0</v>
      </c>
      <c r="B138" s="27">
        <v>0.0</v>
      </c>
      <c r="C138" s="27">
        <v>0.0</v>
      </c>
      <c r="D138" s="27">
        <v>0.0</v>
      </c>
      <c r="E138" s="27">
        <v>0.0</v>
      </c>
      <c r="F138" s="27">
        <v>45.0</v>
      </c>
      <c r="G138" s="5">
        <f t="shared" si="47"/>
        <v>0.036</v>
      </c>
      <c r="H138" s="5">
        <f t="shared" si="48"/>
        <v>0.036</v>
      </c>
      <c r="I138" s="19">
        <f t="shared" si="49"/>
        <v>0.036</v>
      </c>
      <c r="J138" s="32"/>
    </row>
    <row r="139">
      <c r="A139" s="17">
        <v>10.0</v>
      </c>
      <c r="B139" s="27">
        <v>1.0</v>
      </c>
      <c r="C139" s="27">
        <v>169.0</v>
      </c>
      <c r="D139" s="27">
        <v>2.0</v>
      </c>
      <c r="E139" s="27">
        <v>300.0</v>
      </c>
      <c r="F139" s="27"/>
      <c r="G139" s="5">
        <f t="shared" si="47"/>
        <v>0.3898</v>
      </c>
      <c r="H139" s="5">
        <f t="shared" si="48"/>
        <v>0.466</v>
      </c>
      <c r="I139" s="19">
        <f t="shared" si="49"/>
        <v>0.4279</v>
      </c>
      <c r="J139" s="32"/>
    </row>
    <row r="140">
      <c r="A140" s="27" t="s">
        <v>33</v>
      </c>
      <c r="B140" s="28">
        <f>SUM(B130:B139)</f>
        <v>8</v>
      </c>
      <c r="C140" s="29">
        <f>AVERAGE(C130:C139)</f>
        <v>193.6</v>
      </c>
      <c r="D140" s="29">
        <f>SUM(D130:D139)</f>
        <v>4</v>
      </c>
      <c r="E140" s="29">
        <f t="shared" ref="E140:F140" si="50">AVERAGE(E130:E139)</f>
        <v>125.2</v>
      </c>
      <c r="F140" s="29">
        <f t="shared" si="50"/>
        <v>22.88888889</v>
      </c>
      <c r="G140" s="5">
        <f t="shared" ref="G140:I140" si="51">Average(G130:G139)</f>
        <v>0.26112</v>
      </c>
      <c r="H140" s="5">
        <f t="shared" si="51"/>
        <v>0.22744</v>
      </c>
      <c r="I140" s="5">
        <f t="shared" si="51"/>
        <v>0.24428</v>
      </c>
      <c r="J140" s="28"/>
    </row>
    <row r="141">
      <c r="I141" s="5"/>
    </row>
    <row r="142">
      <c r="A142" s="1"/>
      <c r="B142" s="1" t="s">
        <v>0</v>
      </c>
      <c r="C142" s="1" t="s">
        <v>69</v>
      </c>
      <c r="D142" s="1" t="s">
        <v>2</v>
      </c>
      <c r="E142" s="1" t="str">
        <f>"Game on " &amp; MATCH(MAX(I144:I153), I144:I153, 0) + ROW(I144) - 1 &amp; ". row"
</f>
        <v>Game on 149. row</v>
      </c>
      <c r="F142" s="1"/>
      <c r="I142" s="5"/>
    </row>
    <row r="143">
      <c r="A143" s="1" t="s">
        <v>70</v>
      </c>
      <c r="B143" s="1" t="s">
        <v>4</v>
      </c>
      <c r="C143" s="1" t="s">
        <v>5</v>
      </c>
      <c r="D143" s="1" t="s">
        <v>6</v>
      </c>
      <c r="E143" s="1" t="s">
        <v>7</v>
      </c>
      <c r="F143" s="1" t="s">
        <v>8</v>
      </c>
      <c r="G143" s="26"/>
      <c r="H143" s="26"/>
      <c r="I143" s="30"/>
      <c r="J143" s="26"/>
    </row>
    <row r="144">
      <c r="A144" s="17">
        <v>1.0</v>
      </c>
      <c r="B144" s="27">
        <v>0.0</v>
      </c>
      <c r="C144" s="27">
        <v>90.0</v>
      </c>
      <c r="D144" s="27">
        <v>1.0</v>
      </c>
      <c r="E144" s="27">
        <v>412.0</v>
      </c>
      <c r="F144" s="27">
        <v>2.0</v>
      </c>
      <c r="G144" s="5">
        <f t="shared" ref="G144:G153" si="52">(B144*0.5 + C144/100*0.2 + (51 - F144)/5*0.3)/10</f>
        <v>0.312</v>
      </c>
      <c r="H144" s="5">
        <f t="shared" ref="H144:H153" si="53">(D144*0.5 + E144/100*0.2 + (51 - F144)/5*0.3)/10</f>
        <v>0.4264</v>
      </c>
      <c r="I144" s="19">
        <f t="shared" ref="I144:I153" si="54">AVERAGE(G144,H144)</f>
        <v>0.3692</v>
      </c>
      <c r="J144" s="1" t="s">
        <v>15</v>
      </c>
    </row>
    <row r="145">
      <c r="A145" s="17">
        <v>2.0</v>
      </c>
      <c r="B145" s="27">
        <v>0.0</v>
      </c>
      <c r="C145" s="27">
        <v>142.0</v>
      </c>
      <c r="D145" s="27">
        <v>0.0</v>
      </c>
      <c r="E145" s="27">
        <v>0.0</v>
      </c>
      <c r="F145" s="27">
        <v>28.0</v>
      </c>
      <c r="G145" s="5">
        <f t="shared" si="52"/>
        <v>0.1664</v>
      </c>
      <c r="H145" s="5">
        <f t="shared" si="53"/>
        <v>0.138</v>
      </c>
      <c r="I145" s="19">
        <f t="shared" si="54"/>
        <v>0.1522</v>
      </c>
      <c r="J145" s="6">
        <f>B154/10</f>
        <v>0.8</v>
      </c>
    </row>
    <row r="146">
      <c r="A146" s="17">
        <v>3.0</v>
      </c>
      <c r="B146" s="27">
        <v>0.0</v>
      </c>
      <c r="C146" s="27">
        <v>130.0</v>
      </c>
      <c r="D146" s="27">
        <v>0.0</v>
      </c>
      <c r="E146" s="27">
        <v>66.0</v>
      </c>
      <c r="F146" s="27">
        <v>26.0</v>
      </c>
      <c r="G146" s="5">
        <f t="shared" si="52"/>
        <v>0.176</v>
      </c>
      <c r="H146" s="5">
        <f t="shared" si="53"/>
        <v>0.1632</v>
      </c>
      <c r="I146" s="19">
        <f t="shared" si="54"/>
        <v>0.1696</v>
      </c>
      <c r="J146" s="1" t="s">
        <v>19</v>
      </c>
    </row>
    <row r="147">
      <c r="A147" s="17">
        <v>4.0</v>
      </c>
      <c r="B147" s="27">
        <v>0.0</v>
      </c>
      <c r="C147" s="27">
        <v>52.0</v>
      </c>
      <c r="D147" s="27">
        <v>0.0</v>
      </c>
      <c r="E147" s="27">
        <v>24.0</v>
      </c>
      <c r="F147" s="27">
        <v>41.0</v>
      </c>
      <c r="G147" s="5">
        <f t="shared" si="52"/>
        <v>0.0704</v>
      </c>
      <c r="H147" s="5">
        <f t="shared" si="53"/>
        <v>0.0648</v>
      </c>
      <c r="I147" s="19">
        <f t="shared" si="54"/>
        <v>0.0676</v>
      </c>
      <c r="J147" s="6">
        <f>D154/10</f>
        <v>0.1</v>
      </c>
    </row>
    <row r="148">
      <c r="A148" s="17">
        <v>5.0</v>
      </c>
      <c r="B148" s="27">
        <v>0.0</v>
      </c>
      <c r="C148" s="27">
        <v>54.0</v>
      </c>
      <c r="D148" s="27">
        <v>0.0</v>
      </c>
      <c r="E148" s="27">
        <v>68.0</v>
      </c>
      <c r="F148" s="27">
        <v>40.0</v>
      </c>
      <c r="G148" s="5">
        <f t="shared" si="52"/>
        <v>0.0768</v>
      </c>
      <c r="H148" s="5">
        <f t="shared" si="53"/>
        <v>0.0796</v>
      </c>
      <c r="I148" s="19">
        <f t="shared" si="54"/>
        <v>0.0782</v>
      </c>
      <c r="J148" s="7" t="s">
        <v>23</v>
      </c>
    </row>
    <row r="149">
      <c r="A149" s="17">
        <v>6.0</v>
      </c>
      <c r="B149" s="27">
        <v>3.0</v>
      </c>
      <c r="C149" s="27">
        <v>650.0</v>
      </c>
      <c r="D149" s="27">
        <v>0.0</v>
      </c>
      <c r="E149" s="27">
        <v>119.0</v>
      </c>
      <c r="F149" s="27">
        <v>9.0</v>
      </c>
      <c r="G149" s="5">
        <f t="shared" si="52"/>
        <v>0.532</v>
      </c>
      <c r="H149" s="5">
        <f t="shared" si="53"/>
        <v>0.2758</v>
      </c>
      <c r="I149" s="19">
        <f t="shared" si="54"/>
        <v>0.4039</v>
      </c>
      <c r="J149" s="8">
        <f>J145/J147</f>
        <v>8</v>
      </c>
    </row>
    <row r="150">
      <c r="A150" s="17">
        <v>7.0</v>
      </c>
      <c r="B150" s="27">
        <v>2.0</v>
      </c>
      <c r="C150" s="27">
        <v>336.0</v>
      </c>
      <c r="D150" s="27">
        <v>0.0</v>
      </c>
      <c r="E150" s="27">
        <v>0.0</v>
      </c>
      <c r="F150" s="27">
        <v>2.0</v>
      </c>
      <c r="G150" s="5">
        <f t="shared" si="52"/>
        <v>0.4612</v>
      </c>
      <c r="H150" s="5">
        <f t="shared" si="53"/>
        <v>0.294</v>
      </c>
      <c r="I150" s="19">
        <f t="shared" si="54"/>
        <v>0.3776</v>
      </c>
      <c r="J150" s="10" t="s">
        <v>27</v>
      </c>
    </row>
    <row r="151">
      <c r="A151" s="17">
        <v>8.0</v>
      </c>
      <c r="B151" s="27">
        <v>0.0</v>
      </c>
      <c r="C151" s="27">
        <v>0.0</v>
      </c>
      <c r="D151" s="27">
        <v>0.0</v>
      </c>
      <c r="E151" s="27">
        <v>0.0</v>
      </c>
      <c r="F151" s="27">
        <v>40.0</v>
      </c>
      <c r="G151" s="5">
        <f t="shared" si="52"/>
        <v>0.066</v>
      </c>
      <c r="H151" s="5">
        <f t="shared" si="53"/>
        <v>0.066</v>
      </c>
      <c r="I151" s="19">
        <f t="shared" si="54"/>
        <v>0.066</v>
      </c>
      <c r="J151" s="13">
        <f>J147/J145</f>
        <v>0.125</v>
      </c>
    </row>
    <row r="152">
      <c r="A152" s="17">
        <v>9.0</v>
      </c>
      <c r="B152" s="27">
        <v>0.0</v>
      </c>
      <c r="C152" s="27">
        <v>0.0</v>
      </c>
      <c r="D152" s="27">
        <v>0.0</v>
      </c>
      <c r="E152" s="27">
        <v>68.0</v>
      </c>
      <c r="F152" s="27">
        <v>9.0</v>
      </c>
      <c r="G152" s="5">
        <f t="shared" si="52"/>
        <v>0.252</v>
      </c>
      <c r="H152" s="5">
        <f t="shared" si="53"/>
        <v>0.2656</v>
      </c>
      <c r="I152" s="19">
        <f t="shared" si="54"/>
        <v>0.2588</v>
      </c>
      <c r="J152" s="32"/>
    </row>
    <row r="153">
      <c r="A153" s="17">
        <v>10.0</v>
      </c>
      <c r="B153" s="27">
        <v>3.0</v>
      </c>
      <c r="C153" s="27">
        <v>593.0</v>
      </c>
      <c r="D153" s="27">
        <v>0.0</v>
      </c>
      <c r="E153" s="27">
        <v>100.0</v>
      </c>
      <c r="F153" s="27">
        <v>8.0</v>
      </c>
      <c r="G153" s="5">
        <f t="shared" si="52"/>
        <v>0.5266</v>
      </c>
      <c r="H153" s="5">
        <f t="shared" si="53"/>
        <v>0.278</v>
      </c>
      <c r="I153" s="19">
        <f t="shared" si="54"/>
        <v>0.4023</v>
      </c>
      <c r="J153" s="32"/>
    </row>
    <row r="154">
      <c r="A154" s="27" t="s">
        <v>33</v>
      </c>
      <c r="B154" s="28">
        <f>SUM(B144:B153)</f>
        <v>8</v>
      </c>
      <c r="C154" s="29">
        <f>AVERAGE(C144:C153)</f>
        <v>204.7</v>
      </c>
      <c r="D154" s="29">
        <f>SUM(D144:D153)</f>
        <v>1</v>
      </c>
      <c r="E154" s="29">
        <f t="shared" ref="E154:F154" si="55">AVERAGE(E144:E153)</f>
        <v>85.7</v>
      </c>
      <c r="F154" s="29">
        <f t="shared" si="55"/>
        <v>20.5</v>
      </c>
      <c r="G154" s="5">
        <f t="shared" ref="G154:I154" si="56">Average(G144:G153)</f>
        <v>0.26394</v>
      </c>
      <c r="H154" s="5">
        <f t="shared" si="56"/>
        <v>0.20514</v>
      </c>
      <c r="I154" s="5">
        <f t="shared" si="56"/>
        <v>0.23454</v>
      </c>
      <c r="J154" s="28"/>
    </row>
    <row r="155">
      <c r="I155" s="5"/>
    </row>
    <row r="156">
      <c r="A156" s="1"/>
      <c r="B156" s="1" t="s">
        <v>0</v>
      </c>
      <c r="C156" s="1" t="s">
        <v>71</v>
      </c>
      <c r="D156" s="1" t="s">
        <v>2</v>
      </c>
      <c r="E156" s="1" t="str">
        <f>"Game on " &amp; MATCH(MAX(I158:I167), I158:I167, 0) + ROW(I158) - 1 &amp; ". row"
</f>
        <v>Game on 158. row</v>
      </c>
      <c r="F156" s="1"/>
      <c r="I156" s="5"/>
    </row>
    <row r="157">
      <c r="A157" s="1" t="s">
        <v>72</v>
      </c>
      <c r="B157" s="1" t="s">
        <v>4</v>
      </c>
      <c r="C157" s="1" t="s">
        <v>5</v>
      </c>
      <c r="D157" s="1" t="s">
        <v>6</v>
      </c>
      <c r="E157" s="1" t="s">
        <v>7</v>
      </c>
      <c r="F157" s="1" t="s">
        <v>8</v>
      </c>
      <c r="G157" s="26"/>
      <c r="H157" s="26"/>
      <c r="I157" s="30"/>
      <c r="J157" s="26"/>
    </row>
    <row r="158">
      <c r="A158" s="17">
        <v>1.0</v>
      </c>
      <c r="B158" s="27">
        <v>3.0</v>
      </c>
      <c r="C158" s="27">
        <v>344.0</v>
      </c>
      <c r="D158" s="27">
        <v>1.0</v>
      </c>
      <c r="E158" s="27">
        <v>334.0</v>
      </c>
      <c r="F158" s="27">
        <v>5.0</v>
      </c>
      <c r="G158" s="5">
        <f t="shared" ref="G158:G167" si="57">(B158*0.5 + C158/100*0.2 + (51 - F158)/5*0.3)/10</f>
        <v>0.4948</v>
      </c>
      <c r="H158" s="5">
        <f t="shared" ref="H158:H167" si="58">(D158*0.5 + E158/100*0.2 + (51 - F158)/5*0.3)/10</f>
        <v>0.3928</v>
      </c>
      <c r="I158" s="19">
        <f t="shared" ref="I158:I167" si="59">AVERAGE(G158,H158)</f>
        <v>0.4438</v>
      </c>
      <c r="J158" s="1" t="s">
        <v>15</v>
      </c>
    </row>
    <row r="159">
      <c r="A159" s="17">
        <v>2.0</v>
      </c>
      <c r="B159" s="27">
        <v>0.0</v>
      </c>
      <c r="C159" s="27">
        <v>0.0</v>
      </c>
      <c r="D159" s="27">
        <v>0.0</v>
      </c>
      <c r="E159" s="27">
        <v>0.0</v>
      </c>
      <c r="F159" s="27">
        <v>43.0</v>
      </c>
      <c r="G159" s="5">
        <f t="shared" si="57"/>
        <v>0.048</v>
      </c>
      <c r="H159" s="5">
        <f t="shared" si="58"/>
        <v>0.048</v>
      </c>
      <c r="I159" s="19">
        <f t="shared" si="59"/>
        <v>0.048</v>
      </c>
      <c r="J159" s="6">
        <f>B168/10</f>
        <v>0.9</v>
      </c>
    </row>
    <row r="160">
      <c r="A160" s="17">
        <v>3.0</v>
      </c>
      <c r="B160" s="27">
        <v>1.0</v>
      </c>
      <c r="C160" s="27">
        <v>346.0</v>
      </c>
      <c r="D160" s="27">
        <v>0.0</v>
      </c>
      <c r="E160" s="27">
        <v>0.0</v>
      </c>
      <c r="F160" s="27">
        <v>30.0</v>
      </c>
      <c r="G160" s="5">
        <f t="shared" si="57"/>
        <v>0.2452</v>
      </c>
      <c r="H160" s="5">
        <f t="shared" si="58"/>
        <v>0.126</v>
      </c>
      <c r="I160" s="19">
        <f t="shared" si="59"/>
        <v>0.1856</v>
      </c>
      <c r="J160" s="1" t="s">
        <v>19</v>
      </c>
    </row>
    <row r="161">
      <c r="A161" s="17">
        <v>4.0</v>
      </c>
      <c r="B161" s="27">
        <v>0.0</v>
      </c>
      <c r="C161" s="27">
        <v>96.0</v>
      </c>
      <c r="D161" s="27">
        <v>0.0</v>
      </c>
      <c r="E161" s="27">
        <v>0.0</v>
      </c>
      <c r="F161" s="27">
        <v>45.0</v>
      </c>
      <c r="G161" s="5">
        <f t="shared" si="57"/>
        <v>0.0552</v>
      </c>
      <c r="H161" s="5">
        <f t="shared" si="58"/>
        <v>0.036</v>
      </c>
      <c r="I161" s="19">
        <f t="shared" si="59"/>
        <v>0.0456</v>
      </c>
      <c r="J161" s="6">
        <f>D168/10</f>
        <v>0.2</v>
      </c>
    </row>
    <row r="162">
      <c r="A162" s="17">
        <v>5.0</v>
      </c>
      <c r="B162" s="27">
        <v>0.0</v>
      </c>
      <c r="C162" s="27">
        <v>67.0</v>
      </c>
      <c r="D162" s="27">
        <v>0.0</v>
      </c>
      <c r="E162" s="27">
        <v>152.0</v>
      </c>
      <c r="F162" s="27">
        <v>14.0</v>
      </c>
      <c r="G162" s="5">
        <f t="shared" si="57"/>
        <v>0.2354</v>
      </c>
      <c r="H162" s="5">
        <f t="shared" si="58"/>
        <v>0.2524</v>
      </c>
      <c r="I162" s="19">
        <f t="shared" si="59"/>
        <v>0.2439</v>
      </c>
      <c r="J162" s="7" t="s">
        <v>23</v>
      </c>
    </row>
    <row r="163">
      <c r="A163" s="17">
        <v>6.0</v>
      </c>
      <c r="B163" s="27">
        <v>2.0</v>
      </c>
      <c r="C163" s="27">
        <v>239.0</v>
      </c>
      <c r="D163" s="27">
        <v>0.0</v>
      </c>
      <c r="E163" s="27">
        <v>165.0</v>
      </c>
      <c r="F163" s="27">
        <v>31.0</v>
      </c>
      <c r="G163" s="5">
        <f t="shared" si="57"/>
        <v>0.2678</v>
      </c>
      <c r="H163" s="5">
        <f t="shared" si="58"/>
        <v>0.153</v>
      </c>
      <c r="I163" s="19">
        <f t="shared" si="59"/>
        <v>0.2104</v>
      </c>
      <c r="J163" s="8">
        <f>J159/J161</f>
        <v>4.5</v>
      </c>
    </row>
    <row r="164">
      <c r="A164" s="17">
        <v>7.0</v>
      </c>
      <c r="B164" s="27">
        <v>0.0</v>
      </c>
      <c r="C164" s="27">
        <v>125.0</v>
      </c>
      <c r="D164" s="27">
        <v>0.0</v>
      </c>
      <c r="E164" s="27">
        <v>0.0</v>
      </c>
      <c r="F164" s="27">
        <v>37.0</v>
      </c>
      <c r="G164" s="5">
        <f t="shared" si="57"/>
        <v>0.109</v>
      </c>
      <c r="H164" s="5">
        <f t="shared" si="58"/>
        <v>0.084</v>
      </c>
      <c r="I164" s="19">
        <f t="shared" si="59"/>
        <v>0.0965</v>
      </c>
      <c r="J164" s="10" t="s">
        <v>27</v>
      </c>
    </row>
    <row r="165">
      <c r="A165" s="17">
        <v>8.0</v>
      </c>
      <c r="B165" s="27">
        <v>1.0</v>
      </c>
      <c r="C165" s="27">
        <v>454.0</v>
      </c>
      <c r="D165" s="27">
        <v>1.0</v>
      </c>
      <c r="E165" s="27">
        <v>0.0</v>
      </c>
      <c r="F165" s="27">
        <v>8.0</v>
      </c>
      <c r="G165" s="5">
        <f t="shared" si="57"/>
        <v>0.3988</v>
      </c>
      <c r="H165" s="5">
        <f t="shared" si="58"/>
        <v>0.308</v>
      </c>
      <c r="I165" s="19">
        <f t="shared" si="59"/>
        <v>0.3534</v>
      </c>
      <c r="J165" s="13">
        <f>J161/J159</f>
        <v>0.2222222222</v>
      </c>
    </row>
    <row r="166">
      <c r="A166" s="17">
        <v>9.0</v>
      </c>
      <c r="B166" s="27">
        <v>1.0</v>
      </c>
      <c r="C166" s="27">
        <v>199.0</v>
      </c>
      <c r="D166" s="27">
        <v>0.0</v>
      </c>
      <c r="E166" s="27">
        <v>134.0</v>
      </c>
      <c r="F166" s="27">
        <v>17.0</v>
      </c>
      <c r="G166" s="5">
        <f t="shared" si="57"/>
        <v>0.2938</v>
      </c>
      <c r="H166" s="5">
        <f t="shared" si="58"/>
        <v>0.2308</v>
      </c>
      <c r="I166" s="19">
        <f t="shared" si="59"/>
        <v>0.2623</v>
      </c>
      <c r="J166" s="32"/>
    </row>
    <row r="167">
      <c r="A167" s="17">
        <v>10.0</v>
      </c>
      <c r="B167" s="27">
        <v>1.0</v>
      </c>
      <c r="C167" s="27">
        <v>338.0</v>
      </c>
      <c r="D167" s="27">
        <v>0.0</v>
      </c>
      <c r="E167" s="27">
        <v>135.0</v>
      </c>
      <c r="F167" s="27">
        <v>14.0</v>
      </c>
      <c r="G167" s="5">
        <f t="shared" si="57"/>
        <v>0.3396</v>
      </c>
      <c r="H167" s="5">
        <f t="shared" si="58"/>
        <v>0.249</v>
      </c>
      <c r="I167" s="19">
        <f t="shared" si="59"/>
        <v>0.2943</v>
      </c>
      <c r="J167" s="32"/>
    </row>
    <row r="168">
      <c r="A168" s="27" t="s">
        <v>33</v>
      </c>
      <c r="B168" s="28">
        <f>SUM(B158:B167)</f>
        <v>9</v>
      </c>
      <c r="C168" s="29">
        <f>AVERAGE(C158:C167)</f>
        <v>220.8</v>
      </c>
      <c r="D168" s="29">
        <f>SUM(D158:D167)</f>
        <v>2</v>
      </c>
      <c r="E168" s="29">
        <f t="shared" ref="E168:F168" si="60">AVERAGE(E158:E167)</f>
        <v>92</v>
      </c>
      <c r="F168" s="29">
        <f t="shared" si="60"/>
        <v>24.4</v>
      </c>
      <c r="G168" s="5">
        <f t="shared" ref="G168:I168" si="61">Average(G158:G167)</f>
        <v>0.24876</v>
      </c>
      <c r="H168" s="5">
        <f t="shared" si="61"/>
        <v>0.188</v>
      </c>
      <c r="I168" s="5">
        <f t="shared" si="61"/>
        <v>0.21838</v>
      </c>
      <c r="J168" s="28"/>
    </row>
    <row r="169">
      <c r="I169" s="5"/>
    </row>
    <row r="170">
      <c r="A170" s="1"/>
      <c r="B170" s="1" t="s">
        <v>0</v>
      </c>
      <c r="C170" s="1" t="s">
        <v>73</v>
      </c>
      <c r="D170" s="1" t="s">
        <v>2</v>
      </c>
      <c r="E170" s="1" t="str">
        <f>"Game on " &amp; MATCH(MAX(I172:I181), I172:I181, 0) + ROW(I172) - 1 &amp; ". row"
</f>
        <v>Game on 174. row</v>
      </c>
      <c r="F170" s="1"/>
      <c r="I170" s="5"/>
    </row>
    <row r="171">
      <c r="A171" s="1" t="s">
        <v>74</v>
      </c>
      <c r="B171" s="1" t="s">
        <v>4</v>
      </c>
      <c r="C171" s="1" t="s">
        <v>5</v>
      </c>
      <c r="D171" s="1" t="s">
        <v>6</v>
      </c>
      <c r="E171" s="1" t="s">
        <v>7</v>
      </c>
      <c r="F171" s="1" t="s">
        <v>8</v>
      </c>
      <c r="G171" s="26"/>
      <c r="H171" s="26"/>
      <c r="I171" s="30"/>
      <c r="J171" s="26"/>
    </row>
    <row r="172">
      <c r="A172" s="17">
        <v>1.0</v>
      </c>
      <c r="B172" s="27">
        <v>0.0</v>
      </c>
      <c r="C172" s="27">
        <v>0.0</v>
      </c>
      <c r="D172" s="27">
        <v>1.0</v>
      </c>
      <c r="E172" s="27">
        <v>100.0</v>
      </c>
      <c r="F172" s="27">
        <v>36.0</v>
      </c>
      <c r="G172" s="5">
        <f t="shared" ref="G172:G181" si="62">(B172*0.5 + C172/100*0.2 + (51 - F172)/5*0.3)/10</f>
        <v>0.09</v>
      </c>
      <c r="H172" s="5">
        <f t="shared" ref="H172:H181" si="63">(D172*0.5 + E172/100*0.2 + (51 - F172)/5*0.3)/10</f>
        <v>0.16</v>
      </c>
      <c r="I172" s="19">
        <f t="shared" ref="I172:I181" si="64">AVERAGE(G172,H172)</f>
        <v>0.125</v>
      </c>
      <c r="J172" s="1" t="s">
        <v>15</v>
      </c>
    </row>
    <row r="173">
      <c r="A173" s="17">
        <v>2.0</v>
      </c>
      <c r="B173" s="27">
        <v>2.0</v>
      </c>
      <c r="C173" s="27">
        <v>200.0</v>
      </c>
      <c r="D173" s="27">
        <v>0.0</v>
      </c>
      <c r="E173" s="27">
        <v>0.0</v>
      </c>
      <c r="F173" s="27">
        <v>12.0</v>
      </c>
      <c r="G173" s="5">
        <f t="shared" si="62"/>
        <v>0.374</v>
      </c>
      <c r="H173" s="5">
        <f t="shared" si="63"/>
        <v>0.234</v>
      </c>
      <c r="I173" s="19">
        <f t="shared" si="64"/>
        <v>0.304</v>
      </c>
      <c r="J173" s="6">
        <f>B182/10</f>
        <v>1.4</v>
      </c>
    </row>
    <row r="174">
      <c r="A174" s="17">
        <v>3.0</v>
      </c>
      <c r="B174" s="27">
        <v>4.0</v>
      </c>
      <c r="C174" s="27">
        <v>650.0</v>
      </c>
      <c r="D174" s="27">
        <v>0.0</v>
      </c>
      <c r="E174" s="27">
        <v>66.0</v>
      </c>
      <c r="F174" s="27">
        <v>5.0</v>
      </c>
      <c r="G174" s="5">
        <f t="shared" si="62"/>
        <v>0.606</v>
      </c>
      <c r="H174" s="5">
        <f t="shared" si="63"/>
        <v>0.2892</v>
      </c>
      <c r="I174" s="19">
        <f t="shared" si="64"/>
        <v>0.4476</v>
      </c>
      <c r="J174" s="1" t="s">
        <v>19</v>
      </c>
    </row>
    <row r="175">
      <c r="A175" s="17">
        <v>4.0</v>
      </c>
      <c r="B175" s="27">
        <v>0.0</v>
      </c>
      <c r="C175" s="27">
        <v>139.0</v>
      </c>
      <c r="D175" s="27">
        <v>1.0</v>
      </c>
      <c r="E175" s="27">
        <v>200.0</v>
      </c>
      <c r="F175" s="27">
        <v>30.0</v>
      </c>
      <c r="G175" s="5">
        <f t="shared" si="62"/>
        <v>0.1538</v>
      </c>
      <c r="H175" s="5">
        <f t="shared" si="63"/>
        <v>0.216</v>
      </c>
      <c r="I175" s="19">
        <f t="shared" si="64"/>
        <v>0.1849</v>
      </c>
      <c r="J175" s="6">
        <f>D182/10</f>
        <v>0.6</v>
      </c>
    </row>
    <row r="176">
      <c r="A176" s="17">
        <v>5.0</v>
      </c>
      <c r="B176" s="27">
        <v>3.0</v>
      </c>
      <c r="C176" s="27">
        <v>877.0</v>
      </c>
      <c r="D176" s="27">
        <v>1.0</v>
      </c>
      <c r="E176" s="27">
        <v>301.0</v>
      </c>
      <c r="F176" s="27">
        <v>16.0</v>
      </c>
      <c r="G176" s="5">
        <f t="shared" si="62"/>
        <v>0.5354</v>
      </c>
      <c r="H176" s="5">
        <f t="shared" si="63"/>
        <v>0.3202</v>
      </c>
      <c r="I176" s="19">
        <f t="shared" si="64"/>
        <v>0.4278</v>
      </c>
      <c r="J176" s="7" t="s">
        <v>23</v>
      </c>
    </row>
    <row r="177">
      <c r="A177" s="17">
        <v>6.0</v>
      </c>
      <c r="B177" s="27">
        <v>1.0</v>
      </c>
      <c r="C177" s="27">
        <v>221.0</v>
      </c>
      <c r="D177" s="27">
        <v>2.0</v>
      </c>
      <c r="E177" s="27">
        <v>251.0</v>
      </c>
      <c r="F177" s="27">
        <v>10.0</v>
      </c>
      <c r="G177" s="5">
        <f t="shared" si="62"/>
        <v>0.3402</v>
      </c>
      <c r="H177" s="5">
        <f t="shared" si="63"/>
        <v>0.3962</v>
      </c>
      <c r="I177" s="19">
        <f t="shared" si="64"/>
        <v>0.3682</v>
      </c>
      <c r="J177" s="8">
        <f>J173/J175</f>
        <v>2.333333333</v>
      </c>
    </row>
    <row r="178">
      <c r="A178" s="17">
        <v>7.0</v>
      </c>
      <c r="B178" s="27">
        <v>0.0</v>
      </c>
      <c r="C178" s="27">
        <v>45.0</v>
      </c>
      <c r="D178" s="27">
        <v>0.0</v>
      </c>
      <c r="E178" s="27">
        <v>196.0</v>
      </c>
      <c r="F178" s="27">
        <v>27.0</v>
      </c>
      <c r="G178" s="5">
        <f t="shared" si="62"/>
        <v>0.153</v>
      </c>
      <c r="H178" s="5">
        <f t="shared" si="63"/>
        <v>0.1832</v>
      </c>
      <c r="I178" s="19">
        <f t="shared" si="64"/>
        <v>0.1681</v>
      </c>
      <c r="J178" s="10" t="s">
        <v>27</v>
      </c>
    </row>
    <row r="179">
      <c r="A179" s="17">
        <v>8.0</v>
      </c>
      <c r="B179" s="27">
        <v>1.0</v>
      </c>
      <c r="C179" s="27">
        <v>177.0</v>
      </c>
      <c r="D179" s="27">
        <v>0.0</v>
      </c>
      <c r="E179" s="27">
        <v>134.0</v>
      </c>
      <c r="F179" s="27">
        <v>30.0</v>
      </c>
      <c r="G179" s="5">
        <f t="shared" si="62"/>
        <v>0.2114</v>
      </c>
      <c r="H179" s="5">
        <f t="shared" si="63"/>
        <v>0.1528</v>
      </c>
      <c r="I179" s="19">
        <f t="shared" si="64"/>
        <v>0.1821</v>
      </c>
      <c r="J179" s="13">
        <f>J175/J173</f>
        <v>0.4285714286</v>
      </c>
    </row>
    <row r="180">
      <c r="A180" s="17">
        <v>9.0</v>
      </c>
      <c r="B180" s="27">
        <v>2.0</v>
      </c>
      <c r="C180" s="27">
        <v>532.0</v>
      </c>
      <c r="D180" s="27">
        <v>0.0</v>
      </c>
      <c r="E180" s="27">
        <v>0.0</v>
      </c>
      <c r="F180" s="27">
        <v>20.0</v>
      </c>
      <c r="G180" s="5">
        <f t="shared" si="62"/>
        <v>0.3924</v>
      </c>
      <c r="H180" s="5">
        <f t="shared" si="63"/>
        <v>0.186</v>
      </c>
      <c r="I180" s="19">
        <f t="shared" si="64"/>
        <v>0.2892</v>
      </c>
      <c r="J180" s="32"/>
    </row>
    <row r="181">
      <c r="A181" s="17">
        <v>10.0</v>
      </c>
      <c r="B181" s="27">
        <v>1.0</v>
      </c>
      <c r="C181" s="27">
        <v>609.0</v>
      </c>
      <c r="D181" s="27">
        <v>1.0</v>
      </c>
      <c r="E181" s="27">
        <v>163.0</v>
      </c>
      <c r="F181" s="27">
        <v>2.0</v>
      </c>
      <c r="G181" s="5">
        <f t="shared" si="62"/>
        <v>0.4658</v>
      </c>
      <c r="H181" s="5">
        <f t="shared" si="63"/>
        <v>0.3766</v>
      </c>
      <c r="I181" s="19">
        <f t="shared" si="64"/>
        <v>0.4212</v>
      </c>
      <c r="J181" s="32"/>
    </row>
    <row r="182">
      <c r="A182" s="27" t="s">
        <v>33</v>
      </c>
      <c r="B182" s="28">
        <f>SUM(B172:B181)</f>
        <v>14</v>
      </c>
      <c r="C182" s="29">
        <f>AVERAGE(C172:C181)</f>
        <v>345</v>
      </c>
      <c r="D182" s="29">
        <f>SUM(D172:D181)</f>
        <v>6</v>
      </c>
      <c r="E182" s="29">
        <f t="shared" ref="E182:F182" si="65">AVERAGE(E172:E181)</f>
        <v>141.1</v>
      </c>
      <c r="F182" s="29">
        <f t="shared" si="65"/>
        <v>18.8</v>
      </c>
      <c r="G182" s="5">
        <f t="shared" ref="G182:I182" si="66">Average(G172:G181)</f>
        <v>0.3322</v>
      </c>
      <c r="H182" s="5">
        <f t="shared" si="66"/>
        <v>0.25142</v>
      </c>
      <c r="I182" s="5">
        <f t="shared" si="66"/>
        <v>0.29181</v>
      </c>
      <c r="J182" s="28"/>
    </row>
    <row r="183">
      <c r="I183" s="5"/>
    </row>
    <row r="184">
      <c r="A184" s="1"/>
      <c r="B184" s="1" t="s">
        <v>0</v>
      </c>
      <c r="C184" s="1" t="s">
        <v>75</v>
      </c>
      <c r="D184" s="1" t="s">
        <v>2</v>
      </c>
      <c r="E184" s="1" t="str">
        <f>"Game on " &amp; MATCH(MAX(I186:I195), I186:I195, 0) + ROW(I186) - 1 &amp; ". row"
</f>
        <v>Game on 188. row</v>
      </c>
      <c r="F184" s="1"/>
      <c r="I184" s="5"/>
    </row>
    <row r="185">
      <c r="A185" s="1" t="s">
        <v>76</v>
      </c>
      <c r="B185" s="1" t="s">
        <v>4</v>
      </c>
      <c r="C185" s="1" t="s">
        <v>5</v>
      </c>
      <c r="D185" s="1" t="s">
        <v>6</v>
      </c>
      <c r="E185" s="1" t="s">
        <v>7</v>
      </c>
      <c r="F185" s="1" t="s">
        <v>8</v>
      </c>
      <c r="G185" s="26"/>
      <c r="H185" s="26"/>
      <c r="I185" s="30"/>
      <c r="J185" s="26"/>
    </row>
    <row r="186">
      <c r="A186" s="17">
        <v>1.0</v>
      </c>
      <c r="B186" s="27">
        <v>5.0</v>
      </c>
      <c r="C186" s="27">
        <v>611.0</v>
      </c>
      <c r="D186" s="27">
        <v>1.0</v>
      </c>
      <c r="E186" s="27">
        <v>480.0</v>
      </c>
      <c r="F186" s="27">
        <v>5.0</v>
      </c>
      <c r="G186" s="5">
        <f t="shared" ref="G186:G195" si="67">(B186*0.5 + C186/100*0.2 + (51 - F186)/5*0.3)/10</f>
        <v>0.6482</v>
      </c>
      <c r="H186" s="5">
        <f t="shared" ref="H186:H195" si="68">(D186*0.5 + E186/100*0.2 + (51 - F186)/5*0.3)/10</f>
        <v>0.422</v>
      </c>
      <c r="I186" s="19">
        <f t="shared" ref="I186:I196" si="69">AVERAGE(G186,H186)</f>
        <v>0.5351</v>
      </c>
      <c r="J186" s="1" t="s">
        <v>15</v>
      </c>
    </row>
    <row r="187">
      <c r="A187" s="17">
        <v>2.0</v>
      </c>
      <c r="B187" s="27">
        <v>0.0</v>
      </c>
      <c r="C187" s="27">
        <v>154.0</v>
      </c>
      <c r="D187" s="27">
        <v>0.0</v>
      </c>
      <c r="E187" s="27">
        <v>0.0</v>
      </c>
      <c r="F187" s="27">
        <v>43.0</v>
      </c>
      <c r="G187" s="5">
        <f t="shared" si="67"/>
        <v>0.0788</v>
      </c>
      <c r="H187" s="5">
        <f t="shared" si="68"/>
        <v>0.048</v>
      </c>
      <c r="I187" s="19">
        <f t="shared" si="69"/>
        <v>0.0634</v>
      </c>
      <c r="J187" s="6">
        <f>B196/10</f>
        <v>2</v>
      </c>
    </row>
    <row r="188">
      <c r="A188" s="17">
        <v>3.0</v>
      </c>
      <c r="B188" s="27">
        <v>8.0</v>
      </c>
      <c r="C188" s="27">
        <v>1034.0</v>
      </c>
      <c r="D188" s="27">
        <v>1.0</v>
      </c>
      <c r="E188" s="27">
        <v>184.0</v>
      </c>
      <c r="F188" s="27">
        <v>3.0</v>
      </c>
      <c r="G188" s="5">
        <f t="shared" si="67"/>
        <v>0.8948</v>
      </c>
      <c r="H188" s="5">
        <f t="shared" si="68"/>
        <v>0.3748</v>
      </c>
      <c r="I188" s="19">
        <f t="shared" si="69"/>
        <v>0.6348</v>
      </c>
      <c r="J188" s="1" t="s">
        <v>19</v>
      </c>
    </row>
    <row r="189">
      <c r="A189" s="17">
        <v>4.0</v>
      </c>
      <c r="B189" s="27">
        <v>0.0</v>
      </c>
      <c r="C189" s="27">
        <v>82.0</v>
      </c>
      <c r="D189" s="27">
        <v>0.0</v>
      </c>
      <c r="E189" s="27">
        <v>100.0</v>
      </c>
      <c r="F189" s="27">
        <v>19.0</v>
      </c>
      <c r="G189" s="5">
        <f t="shared" si="67"/>
        <v>0.2084</v>
      </c>
      <c r="H189" s="5">
        <f t="shared" si="68"/>
        <v>0.212</v>
      </c>
      <c r="I189" s="19">
        <f t="shared" si="69"/>
        <v>0.2102</v>
      </c>
      <c r="J189" s="6">
        <f>D196/10</f>
        <v>0.4</v>
      </c>
    </row>
    <row r="190">
      <c r="A190" s="17">
        <v>5.0</v>
      </c>
      <c r="B190" s="27">
        <v>0.0</v>
      </c>
      <c r="C190" s="27">
        <v>80.0</v>
      </c>
      <c r="D190" s="27">
        <v>0.0</v>
      </c>
      <c r="E190" s="27">
        <v>0.0</v>
      </c>
      <c r="F190" s="27">
        <v>31.0</v>
      </c>
      <c r="G190" s="5">
        <f t="shared" si="67"/>
        <v>0.136</v>
      </c>
      <c r="H190" s="5">
        <f t="shared" si="68"/>
        <v>0.12</v>
      </c>
      <c r="I190" s="19">
        <f t="shared" si="69"/>
        <v>0.128</v>
      </c>
      <c r="J190" s="7" t="s">
        <v>23</v>
      </c>
    </row>
    <row r="191">
      <c r="A191" s="17">
        <v>6.0</v>
      </c>
      <c r="B191" s="27">
        <v>2.0</v>
      </c>
      <c r="C191" s="27">
        <v>152.0</v>
      </c>
      <c r="D191" s="27">
        <v>0.0</v>
      </c>
      <c r="E191" s="27">
        <v>0.0</v>
      </c>
      <c r="F191" s="27">
        <v>43.0</v>
      </c>
      <c r="G191" s="5">
        <f t="shared" si="67"/>
        <v>0.1784</v>
      </c>
      <c r="H191" s="5">
        <f t="shared" si="68"/>
        <v>0.048</v>
      </c>
      <c r="I191" s="19">
        <f t="shared" si="69"/>
        <v>0.1132</v>
      </c>
      <c r="J191" s="8">
        <f>J187/J189</f>
        <v>5</v>
      </c>
    </row>
    <row r="192">
      <c r="A192" s="17">
        <v>7.0</v>
      </c>
      <c r="B192" s="27">
        <v>2.0</v>
      </c>
      <c r="C192" s="27">
        <v>342.0</v>
      </c>
      <c r="D192" s="27">
        <v>0.0</v>
      </c>
      <c r="E192" s="27">
        <v>0.0</v>
      </c>
      <c r="F192" s="27">
        <v>27.0</v>
      </c>
      <c r="G192" s="5">
        <f t="shared" si="67"/>
        <v>0.3124</v>
      </c>
      <c r="H192" s="5">
        <f t="shared" si="68"/>
        <v>0.144</v>
      </c>
      <c r="I192" s="19">
        <f t="shared" si="69"/>
        <v>0.2282</v>
      </c>
      <c r="J192" s="10" t="s">
        <v>27</v>
      </c>
    </row>
    <row r="193">
      <c r="A193" s="17">
        <v>8.0</v>
      </c>
      <c r="B193" s="27">
        <v>0.0</v>
      </c>
      <c r="C193" s="27">
        <v>70.0</v>
      </c>
      <c r="D193" s="27">
        <v>0.0</v>
      </c>
      <c r="E193" s="27">
        <v>26.0</v>
      </c>
      <c r="F193" s="27">
        <v>25.0</v>
      </c>
      <c r="G193" s="5">
        <f t="shared" si="67"/>
        <v>0.17</v>
      </c>
      <c r="H193" s="5">
        <f t="shared" si="68"/>
        <v>0.1612</v>
      </c>
      <c r="I193" s="19">
        <f t="shared" si="69"/>
        <v>0.1656</v>
      </c>
      <c r="J193" s="13">
        <f>J189/J187</f>
        <v>0.2</v>
      </c>
    </row>
    <row r="194">
      <c r="A194" s="17">
        <v>9.0</v>
      </c>
      <c r="B194" s="27">
        <v>1.0</v>
      </c>
      <c r="C194" s="27">
        <v>410.0</v>
      </c>
      <c r="D194" s="27">
        <v>0.0</v>
      </c>
      <c r="E194" s="27">
        <v>46.0</v>
      </c>
      <c r="F194" s="27">
        <v>21.0</v>
      </c>
      <c r="G194" s="5">
        <f t="shared" si="67"/>
        <v>0.312</v>
      </c>
      <c r="H194" s="5">
        <f t="shared" si="68"/>
        <v>0.1892</v>
      </c>
      <c r="I194" s="19">
        <f t="shared" si="69"/>
        <v>0.2506</v>
      </c>
      <c r="J194" s="32"/>
    </row>
    <row r="195">
      <c r="A195" s="17">
        <v>10.0</v>
      </c>
      <c r="B195" s="27">
        <v>2.0</v>
      </c>
      <c r="C195" s="27">
        <v>538.0</v>
      </c>
      <c r="D195" s="27">
        <v>2.0</v>
      </c>
      <c r="E195" s="27">
        <v>221.0</v>
      </c>
      <c r="F195" s="27">
        <v>1.0</v>
      </c>
      <c r="G195" s="5">
        <f t="shared" si="67"/>
        <v>0.5076</v>
      </c>
      <c r="H195" s="5">
        <f t="shared" si="68"/>
        <v>0.4442</v>
      </c>
      <c r="I195" s="19">
        <f t="shared" si="69"/>
        <v>0.4759</v>
      </c>
      <c r="J195" s="32"/>
    </row>
    <row r="196">
      <c r="A196" s="27" t="s">
        <v>33</v>
      </c>
      <c r="B196" s="28">
        <f>SUM(B186:B195)</f>
        <v>20</v>
      </c>
      <c r="C196" s="29">
        <f>AVERAGE(C186:C195)</f>
        <v>347.3</v>
      </c>
      <c r="D196" s="29">
        <f>SUM(D186:D195)</f>
        <v>4</v>
      </c>
      <c r="E196" s="29">
        <f t="shared" ref="E196:F196" si="70">AVERAGE(E186:E195)</f>
        <v>105.7</v>
      </c>
      <c r="F196" s="29">
        <f t="shared" si="70"/>
        <v>21.8</v>
      </c>
      <c r="G196" s="5">
        <f t="shared" ref="G196:H196" si="71">Average(G186:G195)</f>
        <v>0.34466</v>
      </c>
      <c r="H196" s="5">
        <f t="shared" si="71"/>
        <v>0.21634</v>
      </c>
      <c r="I196" s="19">
        <f t="shared" si="69"/>
        <v>0.2805</v>
      </c>
      <c r="J196" s="32"/>
    </row>
    <row r="197">
      <c r="I197" s="5"/>
    </row>
    <row r="198">
      <c r="A198" s="1"/>
      <c r="B198" s="1" t="s">
        <v>0</v>
      </c>
      <c r="C198" s="1" t="s">
        <v>77</v>
      </c>
      <c r="D198" s="1" t="s">
        <v>2</v>
      </c>
      <c r="E198" s="1" t="str">
        <f>"Game on " &amp; MATCH(MAX(I200:I209), I200:I209, 0) + ROW(I200) - 1 &amp; ". row"
</f>
        <v>Game on 206. row</v>
      </c>
      <c r="F198" s="1"/>
      <c r="I198" s="5"/>
    </row>
    <row r="199">
      <c r="A199" s="1" t="s">
        <v>78</v>
      </c>
      <c r="B199" s="1" t="s">
        <v>4</v>
      </c>
      <c r="C199" s="1" t="s">
        <v>5</v>
      </c>
      <c r="D199" s="1" t="s">
        <v>6</v>
      </c>
      <c r="E199" s="1" t="s">
        <v>7</v>
      </c>
      <c r="F199" s="1" t="s">
        <v>8</v>
      </c>
      <c r="G199" s="26"/>
      <c r="H199" s="26"/>
      <c r="I199" s="30"/>
      <c r="J199" s="26"/>
    </row>
    <row r="200">
      <c r="A200" s="17">
        <v>1.0</v>
      </c>
      <c r="B200" s="27">
        <v>0.0</v>
      </c>
      <c r="C200" s="27">
        <v>0.0</v>
      </c>
      <c r="D200" s="27">
        <v>0.0</v>
      </c>
      <c r="E200" s="27">
        <v>99.0</v>
      </c>
      <c r="F200" s="27">
        <v>45.0</v>
      </c>
      <c r="G200" s="5">
        <f t="shared" ref="G200:G209" si="72">(B200*0.5 + C200/100*0.2 + (51 - F200)/5*0.3)/10</f>
        <v>0.036</v>
      </c>
      <c r="H200" s="5">
        <f t="shared" ref="H200:H209" si="73">(D200*0.5 + E200/100*0.2 + (51 - F200)/5*0.3)/10</f>
        <v>0.0558</v>
      </c>
      <c r="I200" s="19">
        <f t="shared" ref="I200:I210" si="74">AVERAGE(G200,H200)</f>
        <v>0.0459</v>
      </c>
      <c r="J200" s="1" t="s">
        <v>15</v>
      </c>
    </row>
    <row r="201">
      <c r="A201" s="17">
        <v>2.0</v>
      </c>
      <c r="B201" s="27">
        <v>0.0</v>
      </c>
      <c r="C201" s="27">
        <v>50.0</v>
      </c>
      <c r="D201" s="27">
        <v>1.0</v>
      </c>
      <c r="E201" s="27">
        <v>123.0</v>
      </c>
      <c r="F201" s="27">
        <v>12.0</v>
      </c>
      <c r="G201" s="5">
        <f t="shared" si="72"/>
        <v>0.244</v>
      </c>
      <c r="H201" s="5">
        <f t="shared" si="73"/>
        <v>0.3086</v>
      </c>
      <c r="I201" s="19">
        <f t="shared" si="74"/>
        <v>0.2763</v>
      </c>
      <c r="J201" s="6">
        <f>B210/10</f>
        <v>0.4</v>
      </c>
    </row>
    <row r="202">
      <c r="A202" s="17">
        <v>3.0</v>
      </c>
      <c r="B202" s="27">
        <v>0.0</v>
      </c>
      <c r="C202" s="27">
        <v>128.0</v>
      </c>
      <c r="D202" s="27">
        <v>0.0</v>
      </c>
      <c r="E202" s="27">
        <v>97.0</v>
      </c>
      <c r="F202" s="27">
        <v>12.0</v>
      </c>
      <c r="G202" s="5">
        <f t="shared" si="72"/>
        <v>0.2596</v>
      </c>
      <c r="H202" s="5">
        <f t="shared" si="73"/>
        <v>0.2534</v>
      </c>
      <c r="I202" s="19">
        <f t="shared" si="74"/>
        <v>0.2565</v>
      </c>
      <c r="J202" s="1" t="s">
        <v>19</v>
      </c>
    </row>
    <row r="203">
      <c r="A203" s="17">
        <v>4.0</v>
      </c>
      <c r="B203" s="27">
        <v>0.0</v>
      </c>
      <c r="C203" s="27">
        <v>19.0</v>
      </c>
      <c r="D203" s="27">
        <v>0.0</v>
      </c>
      <c r="E203" s="27">
        <v>21.0</v>
      </c>
      <c r="F203" s="27">
        <v>35.0</v>
      </c>
      <c r="G203" s="5">
        <f t="shared" si="72"/>
        <v>0.0998</v>
      </c>
      <c r="H203" s="5">
        <f t="shared" si="73"/>
        <v>0.1002</v>
      </c>
      <c r="I203" s="19">
        <f t="shared" si="74"/>
        <v>0.1</v>
      </c>
      <c r="J203" s="6">
        <f>D210/10</f>
        <v>0.6</v>
      </c>
    </row>
    <row r="204">
      <c r="A204" s="17">
        <v>5.0</v>
      </c>
      <c r="B204" s="27">
        <v>0.0</v>
      </c>
      <c r="C204" s="27">
        <v>79.0</v>
      </c>
      <c r="D204" s="27">
        <v>2.0</v>
      </c>
      <c r="E204" s="27">
        <v>173.0</v>
      </c>
      <c r="F204" s="27">
        <v>21.0</v>
      </c>
      <c r="G204" s="5">
        <f t="shared" si="72"/>
        <v>0.1958</v>
      </c>
      <c r="H204" s="5">
        <f t="shared" si="73"/>
        <v>0.3146</v>
      </c>
      <c r="I204" s="19">
        <f t="shared" si="74"/>
        <v>0.2552</v>
      </c>
      <c r="J204" s="7" t="s">
        <v>23</v>
      </c>
    </row>
    <row r="205">
      <c r="A205" s="17">
        <v>6.0</v>
      </c>
      <c r="B205" s="27">
        <v>1.0</v>
      </c>
      <c r="C205" s="27">
        <v>150.0</v>
      </c>
      <c r="D205" s="27">
        <v>0.0</v>
      </c>
      <c r="E205" s="27">
        <v>0.0</v>
      </c>
      <c r="F205" s="27">
        <v>39.0</v>
      </c>
      <c r="G205" s="5">
        <f t="shared" si="72"/>
        <v>0.152</v>
      </c>
      <c r="H205" s="5">
        <f t="shared" si="73"/>
        <v>0.072</v>
      </c>
      <c r="I205" s="19">
        <f t="shared" si="74"/>
        <v>0.112</v>
      </c>
      <c r="J205" s="8">
        <f>J201/J203</f>
        <v>0.6666666667</v>
      </c>
    </row>
    <row r="206">
      <c r="A206" s="17">
        <v>7.0</v>
      </c>
      <c r="B206" s="27">
        <v>3.0</v>
      </c>
      <c r="C206" s="27">
        <v>495.0</v>
      </c>
      <c r="D206" s="27">
        <v>3.0</v>
      </c>
      <c r="E206" s="27">
        <v>261.0</v>
      </c>
      <c r="F206" s="27">
        <v>1.0</v>
      </c>
      <c r="G206" s="5">
        <f t="shared" si="72"/>
        <v>0.549</v>
      </c>
      <c r="H206" s="5">
        <f t="shared" si="73"/>
        <v>0.5022</v>
      </c>
      <c r="I206" s="19">
        <f t="shared" si="74"/>
        <v>0.5256</v>
      </c>
      <c r="J206" s="10" t="s">
        <v>27</v>
      </c>
    </row>
    <row r="207">
      <c r="A207" s="17">
        <v>8.0</v>
      </c>
      <c r="B207" s="27">
        <v>0.0</v>
      </c>
      <c r="C207" s="27">
        <v>58.0</v>
      </c>
      <c r="D207" s="27">
        <v>0.0</v>
      </c>
      <c r="E207" s="27">
        <v>0.0</v>
      </c>
      <c r="F207" s="27">
        <v>39.0</v>
      </c>
      <c r="G207" s="5">
        <f t="shared" si="72"/>
        <v>0.0836</v>
      </c>
      <c r="H207" s="5">
        <f t="shared" si="73"/>
        <v>0.072</v>
      </c>
      <c r="I207" s="19">
        <f t="shared" si="74"/>
        <v>0.0778</v>
      </c>
      <c r="J207" s="13">
        <f>J203/J201</f>
        <v>1.5</v>
      </c>
    </row>
    <row r="208">
      <c r="A208" s="17">
        <v>9.0</v>
      </c>
      <c r="B208" s="27">
        <v>0.0</v>
      </c>
      <c r="C208" s="27">
        <v>79.0</v>
      </c>
      <c r="D208" s="27">
        <v>0.0</v>
      </c>
      <c r="E208" s="27">
        <v>100.0</v>
      </c>
      <c r="F208" s="27">
        <v>27.0</v>
      </c>
      <c r="G208" s="5">
        <f t="shared" si="72"/>
        <v>0.1598</v>
      </c>
      <c r="H208" s="5">
        <f t="shared" si="73"/>
        <v>0.164</v>
      </c>
      <c r="I208" s="19">
        <f t="shared" si="74"/>
        <v>0.1619</v>
      </c>
      <c r="J208" s="32"/>
    </row>
    <row r="209">
      <c r="A209" s="17">
        <v>10.0</v>
      </c>
      <c r="B209" s="27">
        <v>0.0</v>
      </c>
      <c r="C209" s="27">
        <v>0.0</v>
      </c>
      <c r="D209" s="27">
        <v>0.0</v>
      </c>
      <c r="E209" s="27">
        <v>162.0</v>
      </c>
      <c r="F209" s="27">
        <v>37.0</v>
      </c>
      <c r="G209" s="5">
        <f t="shared" si="72"/>
        <v>0.084</v>
      </c>
      <c r="H209" s="5">
        <f t="shared" si="73"/>
        <v>0.1164</v>
      </c>
      <c r="I209" s="19">
        <f t="shared" si="74"/>
        <v>0.1002</v>
      </c>
      <c r="J209" s="32"/>
    </row>
    <row r="210">
      <c r="A210" s="27" t="s">
        <v>33</v>
      </c>
      <c r="B210" s="28">
        <f>SUM(B200:B209)</f>
        <v>4</v>
      </c>
      <c r="C210" s="29">
        <f>AVERAGE(C200:C209)</f>
        <v>105.8</v>
      </c>
      <c r="D210" s="29">
        <f>SUM(D200:D209)</f>
        <v>6</v>
      </c>
      <c r="E210" s="29">
        <f t="shared" ref="E210:F210" si="75">AVERAGE(E200:E209)</f>
        <v>103.6</v>
      </c>
      <c r="F210" s="29">
        <f t="shared" si="75"/>
        <v>26.8</v>
      </c>
      <c r="G210" s="5">
        <f t="shared" ref="G210:H210" si="76">Average(G200:G209)</f>
        <v>0.18636</v>
      </c>
      <c r="H210" s="5">
        <f t="shared" si="76"/>
        <v>0.19592</v>
      </c>
      <c r="I210" s="19">
        <f t="shared" si="74"/>
        <v>0.19114</v>
      </c>
      <c r="J210" s="32"/>
    </row>
    <row r="211">
      <c r="I211" s="5"/>
    </row>
    <row r="212">
      <c r="A212" s="1"/>
      <c r="B212" s="1" t="s">
        <v>0</v>
      </c>
      <c r="C212" s="1" t="s">
        <v>79</v>
      </c>
      <c r="D212" s="1" t="s">
        <v>2</v>
      </c>
      <c r="E212" s="1" t="str">
        <f>"Game on " &amp; MATCH(MAX(I214:I223), I214:I223, 0) + ROW(I214) - 1 &amp; ". row"
</f>
        <v>Game on 222. row</v>
      </c>
      <c r="F212" s="1"/>
      <c r="I212" s="5"/>
    </row>
    <row r="213">
      <c r="A213" s="1" t="s">
        <v>80</v>
      </c>
      <c r="B213" s="1" t="s">
        <v>4</v>
      </c>
      <c r="C213" s="1" t="s">
        <v>5</v>
      </c>
      <c r="D213" s="1" t="s">
        <v>6</v>
      </c>
      <c r="E213" s="1" t="s">
        <v>7</v>
      </c>
      <c r="F213" s="1" t="s">
        <v>8</v>
      </c>
      <c r="G213" s="26"/>
      <c r="H213" s="26"/>
      <c r="I213" s="30"/>
      <c r="J213" s="26"/>
    </row>
    <row r="214">
      <c r="A214" s="17">
        <v>1.0</v>
      </c>
      <c r="B214" s="27">
        <v>5.0</v>
      </c>
      <c r="C214" s="27">
        <v>466.0</v>
      </c>
      <c r="D214" s="27">
        <v>0.0</v>
      </c>
      <c r="E214" s="27">
        <v>108.0</v>
      </c>
      <c r="F214" s="27">
        <v>17.0</v>
      </c>
      <c r="G214" s="5">
        <f t="shared" ref="G214:G223" si="77">(B214*0.5 + C214/100*0.2 + (51 - F214)/5*0.3)/10</f>
        <v>0.5472</v>
      </c>
      <c r="H214" s="5">
        <f t="shared" ref="H214:H223" si="78">(D214*0.5 + E214/100*0.2 + (51 - F214)/5*0.3)/10</f>
        <v>0.2256</v>
      </c>
      <c r="I214" s="19">
        <f t="shared" ref="I214:I224" si="79">AVERAGE(G214,H214)</f>
        <v>0.3864</v>
      </c>
      <c r="J214" s="1" t="s">
        <v>15</v>
      </c>
    </row>
    <row r="215">
      <c r="A215" s="17">
        <v>2.0</v>
      </c>
      <c r="B215" s="27">
        <v>0.0</v>
      </c>
      <c r="C215" s="27">
        <v>103.0</v>
      </c>
      <c r="D215" s="27">
        <v>0.0</v>
      </c>
      <c r="E215" s="27">
        <v>163.0</v>
      </c>
      <c r="F215" s="27">
        <v>23.0</v>
      </c>
      <c r="G215" s="5">
        <f t="shared" si="77"/>
        <v>0.1886</v>
      </c>
      <c r="H215" s="5">
        <f t="shared" si="78"/>
        <v>0.2006</v>
      </c>
      <c r="I215" s="19">
        <f t="shared" si="79"/>
        <v>0.1946</v>
      </c>
      <c r="J215" s="6">
        <f>B224/10</f>
        <v>1.9</v>
      </c>
    </row>
    <row r="216">
      <c r="A216" s="17">
        <v>3.0</v>
      </c>
      <c r="B216" s="27">
        <v>0.0</v>
      </c>
      <c r="C216" s="27">
        <v>0.0</v>
      </c>
      <c r="D216" s="27">
        <v>0.0</v>
      </c>
      <c r="E216" s="27">
        <v>100.0</v>
      </c>
      <c r="F216" s="27">
        <v>47.0</v>
      </c>
      <c r="G216" s="5">
        <f t="shared" si="77"/>
        <v>0.024</v>
      </c>
      <c r="H216" s="5">
        <f t="shared" si="78"/>
        <v>0.044</v>
      </c>
      <c r="I216" s="19">
        <f t="shared" si="79"/>
        <v>0.034</v>
      </c>
      <c r="J216" s="1" t="s">
        <v>19</v>
      </c>
    </row>
    <row r="217">
      <c r="A217" s="17">
        <v>4.0</v>
      </c>
      <c r="B217" s="27">
        <v>2.0</v>
      </c>
      <c r="C217" s="27">
        <v>524.0</v>
      </c>
      <c r="D217" s="27">
        <v>0.0</v>
      </c>
      <c r="E217" s="27">
        <v>180.0</v>
      </c>
      <c r="F217" s="27">
        <v>1.0</v>
      </c>
      <c r="G217" s="5">
        <f t="shared" si="77"/>
        <v>0.5048</v>
      </c>
      <c r="H217" s="5">
        <f t="shared" si="78"/>
        <v>0.336</v>
      </c>
      <c r="I217" s="19">
        <f t="shared" si="79"/>
        <v>0.4204</v>
      </c>
      <c r="J217" s="6">
        <f>D224/10</f>
        <v>0</v>
      </c>
    </row>
    <row r="218">
      <c r="A218" s="17">
        <v>5.0</v>
      </c>
      <c r="B218" s="27">
        <v>4.0</v>
      </c>
      <c r="C218" s="27">
        <v>356.0</v>
      </c>
      <c r="D218" s="27">
        <v>0.0</v>
      </c>
      <c r="E218" s="27">
        <v>62.0</v>
      </c>
      <c r="F218" s="27">
        <v>13.0</v>
      </c>
      <c r="G218" s="5">
        <f t="shared" si="77"/>
        <v>0.4992</v>
      </c>
      <c r="H218" s="5">
        <f t="shared" si="78"/>
        <v>0.2404</v>
      </c>
      <c r="I218" s="19">
        <f t="shared" si="79"/>
        <v>0.3698</v>
      </c>
      <c r="J218" s="7" t="s">
        <v>23</v>
      </c>
    </row>
    <row r="219">
      <c r="A219" s="17">
        <v>6.0</v>
      </c>
      <c r="B219" s="27">
        <v>0.0</v>
      </c>
      <c r="C219" s="27">
        <v>100.0</v>
      </c>
      <c r="D219" s="27">
        <v>0.0</v>
      </c>
      <c r="E219" s="27">
        <v>0.0</v>
      </c>
      <c r="F219" s="27">
        <v>30.0</v>
      </c>
      <c r="G219" s="5">
        <f t="shared" si="77"/>
        <v>0.146</v>
      </c>
      <c r="H219" s="5">
        <f t="shared" si="78"/>
        <v>0.126</v>
      </c>
      <c r="I219" s="19">
        <f t="shared" si="79"/>
        <v>0.136</v>
      </c>
      <c r="J219" s="8" t="str">
        <f>J215/J217</f>
        <v>#DIV/0!</v>
      </c>
    </row>
    <row r="220">
      <c r="A220" s="17">
        <v>7.0</v>
      </c>
      <c r="B220" s="27">
        <v>1.0</v>
      </c>
      <c r="C220" s="27">
        <v>234.0</v>
      </c>
      <c r="D220" s="27">
        <v>0.0</v>
      </c>
      <c r="E220" s="27">
        <v>0.0</v>
      </c>
      <c r="F220" s="27">
        <v>13.0</v>
      </c>
      <c r="G220" s="5">
        <f t="shared" si="77"/>
        <v>0.3248</v>
      </c>
      <c r="H220" s="5">
        <f t="shared" si="78"/>
        <v>0.228</v>
      </c>
      <c r="I220" s="19">
        <f t="shared" si="79"/>
        <v>0.2764</v>
      </c>
      <c r="J220" s="10" t="s">
        <v>27</v>
      </c>
    </row>
    <row r="221">
      <c r="A221" s="17">
        <v>8.0</v>
      </c>
      <c r="B221" s="27">
        <v>2.0</v>
      </c>
      <c r="C221" s="27">
        <v>373.0</v>
      </c>
      <c r="D221" s="27">
        <v>0.0</v>
      </c>
      <c r="E221" s="27">
        <v>40.0</v>
      </c>
      <c r="F221" s="27">
        <v>32.0</v>
      </c>
      <c r="G221" s="5">
        <f t="shared" si="77"/>
        <v>0.2886</v>
      </c>
      <c r="H221" s="5">
        <f t="shared" si="78"/>
        <v>0.122</v>
      </c>
      <c r="I221" s="19">
        <f t="shared" si="79"/>
        <v>0.2053</v>
      </c>
      <c r="J221" s="13">
        <f>J217/J215</f>
        <v>0</v>
      </c>
    </row>
    <row r="222">
      <c r="A222" s="17">
        <v>9.0</v>
      </c>
      <c r="B222" s="27">
        <v>4.0</v>
      </c>
      <c r="C222" s="27">
        <v>649.0</v>
      </c>
      <c r="D222" s="27">
        <v>0.0</v>
      </c>
      <c r="E222" s="27">
        <v>524.0</v>
      </c>
      <c r="F222" s="27">
        <v>5.0</v>
      </c>
      <c r="G222" s="5">
        <f t="shared" si="77"/>
        <v>0.6058</v>
      </c>
      <c r="H222" s="5">
        <f t="shared" si="78"/>
        <v>0.3808</v>
      </c>
      <c r="I222" s="19">
        <f t="shared" si="79"/>
        <v>0.4933</v>
      </c>
      <c r="J222" s="32"/>
    </row>
    <row r="223">
      <c r="A223" s="17">
        <v>10.0</v>
      </c>
      <c r="B223" s="27">
        <v>1.0</v>
      </c>
      <c r="C223" s="27">
        <v>165.0</v>
      </c>
      <c r="D223" s="27">
        <v>0.0</v>
      </c>
      <c r="E223" s="27">
        <v>96.0</v>
      </c>
      <c r="F223" s="27">
        <v>30.0</v>
      </c>
      <c r="G223" s="5">
        <f t="shared" si="77"/>
        <v>0.209</v>
      </c>
      <c r="H223" s="5">
        <f t="shared" si="78"/>
        <v>0.1452</v>
      </c>
      <c r="I223" s="19">
        <f t="shared" si="79"/>
        <v>0.1771</v>
      </c>
      <c r="J223" s="32"/>
    </row>
    <row r="224">
      <c r="A224" s="27" t="s">
        <v>33</v>
      </c>
      <c r="B224" s="28">
        <f>SUM(B214:B223)</f>
        <v>19</v>
      </c>
      <c r="C224" s="29">
        <f>AVERAGE(C214:C223)</f>
        <v>297</v>
      </c>
      <c r="D224" s="29">
        <f>SUM(D214:D223)</f>
        <v>0</v>
      </c>
      <c r="E224" s="29">
        <f t="shared" ref="E224:F224" si="80">AVERAGE(E214:E223)</f>
        <v>127.3</v>
      </c>
      <c r="F224" s="29">
        <f t="shared" si="80"/>
        <v>21.1</v>
      </c>
      <c r="G224" s="5">
        <f t="shared" ref="G224:H224" si="81">Average(G214:G223)</f>
        <v>0.3338</v>
      </c>
      <c r="H224" s="5">
        <f t="shared" si="81"/>
        <v>0.20486</v>
      </c>
      <c r="I224" s="19">
        <f t="shared" si="79"/>
        <v>0.26933</v>
      </c>
      <c r="J224" s="32"/>
    </row>
    <row r="226">
      <c r="A226" s="1"/>
      <c r="B226" s="1" t="s">
        <v>0</v>
      </c>
      <c r="C226" s="1" t="s">
        <v>81</v>
      </c>
      <c r="D226" s="1" t="s">
        <v>2</v>
      </c>
      <c r="E226" s="1" t="str">
        <f>"Game on " &amp; MATCH(MAX(I228:I237), I228:I237, 0) + ROW(I228) - 1 &amp; ". row"
</f>
        <v>Game on 235. row</v>
      </c>
      <c r="F226" s="1"/>
      <c r="I226" s="5"/>
    </row>
    <row r="227">
      <c r="A227" s="1" t="s">
        <v>82</v>
      </c>
      <c r="B227" s="1" t="s">
        <v>4</v>
      </c>
      <c r="C227" s="1" t="s">
        <v>5</v>
      </c>
      <c r="D227" s="1" t="s">
        <v>6</v>
      </c>
      <c r="E227" s="1" t="s">
        <v>7</v>
      </c>
      <c r="F227" s="1" t="s">
        <v>8</v>
      </c>
      <c r="G227" s="26"/>
      <c r="H227" s="26"/>
      <c r="I227" s="30"/>
      <c r="J227" s="26"/>
    </row>
    <row r="228">
      <c r="A228" s="17">
        <v>1.0</v>
      </c>
      <c r="B228" s="27">
        <v>0.0</v>
      </c>
      <c r="C228" s="27">
        <v>376.0</v>
      </c>
      <c r="D228" s="27">
        <v>2.0</v>
      </c>
      <c r="E228" s="27">
        <v>275.0</v>
      </c>
      <c r="F228" s="27">
        <v>6.0</v>
      </c>
      <c r="G228" s="5">
        <f t="shared" ref="G228:G237" si="82">(B228*0.5 + C228/100*0.2 + (51 - F228)/5*0.3)/10</f>
        <v>0.3452</v>
      </c>
      <c r="H228" s="5">
        <f t="shared" ref="H228:H237" si="83">(D228*0.5 + E228/100*0.2 + (51 - F228)/5*0.3)/10</f>
        <v>0.425</v>
      </c>
      <c r="I228" s="19">
        <f t="shared" ref="I228:I238" si="84">AVERAGE(G228,H228)</f>
        <v>0.3851</v>
      </c>
      <c r="J228" s="1" t="s">
        <v>15</v>
      </c>
    </row>
    <row r="229">
      <c r="A229" s="17">
        <v>2.0</v>
      </c>
      <c r="B229" s="27">
        <v>1.0</v>
      </c>
      <c r="C229" s="27">
        <v>265.0</v>
      </c>
      <c r="D229" s="27">
        <v>2.0</v>
      </c>
      <c r="E229" s="27">
        <v>183.0</v>
      </c>
      <c r="F229" s="27">
        <v>22.0</v>
      </c>
      <c r="G229" s="5">
        <f t="shared" si="82"/>
        <v>0.277</v>
      </c>
      <c r="H229" s="5">
        <f t="shared" si="83"/>
        <v>0.3106</v>
      </c>
      <c r="I229" s="19">
        <f t="shared" si="84"/>
        <v>0.2938</v>
      </c>
      <c r="J229" s="6">
        <f>B238/10</f>
        <v>1.3</v>
      </c>
    </row>
    <row r="230">
      <c r="A230" s="17">
        <v>3.0</v>
      </c>
      <c r="B230" s="27">
        <v>2.0</v>
      </c>
      <c r="C230" s="27">
        <v>328.0</v>
      </c>
      <c r="D230" s="27">
        <v>1.0</v>
      </c>
      <c r="E230" s="27">
        <v>300.0</v>
      </c>
      <c r="F230" s="27">
        <v>3.0</v>
      </c>
      <c r="G230" s="5">
        <f t="shared" si="82"/>
        <v>0.4536</v>
      </c>
      <c r="H230" s="5">
        <f t="shared" si="83"/>
        <v>0.398</v>
      </c>
      <c r="I230" s="19">
        <f t="shared" si="84"/>
        <v>0.4258</v>
      </c>
      <c r="J230" s="1" t="s">
        <v>19</v>
      </c>
    </row>
    <row r="231">
      <c r="A231" s="17">
        <v>4.0</v>
      </c>
      <c r="B231" s="27">
        <v>4.0</v>
      </c>
      <c r="C231" s="27">
        <v>402.0</v>
      </c>
      <c r="D231" s="27">
        <v>0.0</v>
      </c>
      <c r="E231" s="27">
        <v>49.0</v>
      </c>
      <c r="F231" s="27">
        <v>19.0</v>
      </c>
      <c r="G231" s="5">
        <f t="shared" si="82"/>
        <v>0.4724</v>
      </c>
      <c r="H231" s="5">
        <f t="shared" si="83"/>
        <v>0.2018</v>
      </c>
      <c r="I231" s="19">
        <f t="shared" si="84"/>
        <v>0.3371</v>
      </c>
      <c r="J231" s="6">
        <f>D238/10</f>
        <v>0.7</v>
      </c>
    </row>
    <row r="232">
      <c r="A232" s="17">
        <v>5.0</v>
      </c>
      <c r="B232" s="27">
        <v>0.0</v>
      </c>
      <c r="C232" s="27">
        <v>128.0</v>
      </c>
      <c r="D232" s="27">
        <v>0.0</v>
      </c>
      <c r="E232" s="27">
        <v>0.0</v>
      </c>
      <c r="F232" s="27">
        <v>16.0</v>
      </c>
      <c r="G232" s="5">
        <f t="shared" si="82"/>
        <v>0.2356</v>
      </c>
      <c r="H232" s="5">
        <f t="shared" si="83"/>
        <v>0.21</v>
      </c>
      <c r="I232" s="19">
        <f t="shared" si="84"/>
        <v>0.2228</v>
      </c>
      <c r="J232" s="7" t="s">
        <v>23</v>
      </c>
    </row>
    <row r="233">
      <c r="A233" s="17">
        <v>6.0</v>
      </c>
      <c r="B233" s="27">
        <v>2.0</v>
      </c>
      <c r="C233" s="27">
        <v>165.0</v>
      </c>
      <c r="D233" s="27">
        <v>1.0</v>
      </c>
      <c r="E233" s="27">
        <v>174.0</v>
      </c>
      <c r="F233" s="27">
        <v>3.0</v>
      </c>
      <c r="G233" s="5">
        <f t="shared" si="82"/>
        <v>0.421</v>
      </c>
      <c r="H233" s="5">
        <f t="shared" si="83"/>
        <v>0.3728</v>
      </c>
      <c r="I233" s="19">
        <f t="shared" si="84"/>
        <v>0.3969</v>
      </c>
      <c r="J233" s="8">
        <f>J229/J231</f>
        <v>1.857142857</v>
      </c>
    </row>
    <row r="234">
      <c r="A234" s="17">
        <v>7.0</v>
      </c>
      <c r="B234" s="27">
        <v>0.0</v>
      </c>
      <c r="C234" s="27">
        <v>104.0</v>
      </c>
      <c r="D234" s="27">
        <v>0.0</v>
      </c>
      <c r="E234" s="27">
        <v>29.0</v>
      </c>
      <c r="F234" s="27">
        <v>26.0</v>
      </c>
      <c r="G234" s="5">
        <f t="shared" si="82"/>
        <v>0.1708</v>
      </c>
      <c r="H234" s="5">
        <f t="shared" si="83"/>
        <v>0.1558</v>
      </c>
      <c r="I234" s="19">
        <f t="shared" si="84"/>
        <v>0.1633</v>
      </c>
      <c r="J234" s="10" t="s">
        <v>27</v>
      </c>
    </row>
    <row r="235">
      <c r="A235" s="17">
        <v>8.0</v>
      </c>
      <c r="B235" s="27">
        <v>3.0</v>
      </c>
      <c r="C235" s="27">
        <v>720.0</v>
      </c>
      <c r="D235" s="27">
        <v>1.0</v>
      </c>
      <c r="E235" s="27">
        <v>257.0</v>
      </c>
      <c r="F235" s="27">
        <v>7.0</v>
      </c>
      <c r="G235" s="5">
        <f t="shared" si="82"/>
        <v>0.558</v>
      </c>
      <c r="H235" s="5">
        <f t="shared" si="83"/>
        <v>0.3654</v>
      </c>
      <c r="I235" s="19">
        <f t="shared" si="84"/>
        <v>0.4617</v>
      </c>
      <c r="J235" s="13">
        <f>J231/J229</f>
        <v>0.5384615385</v>
      </c>
    </row>
    <row r="236">
      <c r="A236" s="17">
        <v>9.0</v>
      </c>
      <c r="B236" s="27">
        <v>1.0</v>
      </c>
      <c r="C236" s="27">
        <v>359.0</v>
      </c>
      <c r="D236" s="27">
        <v>0.0</v>
      </c>
      <c r="E236" s="27">
        <v>200.0</v>
      </c>
      <c r="F236" s="27">
        <v>12.0</v>
      </c>
      <c r="G236" s="5">
        <f t="shared" si="82"/>
        <v>0.3558</v>
      </c>
      <c r="H236" s="5">
        <f t="shared" si="83"/>
        <v>0.274</v>
      </c>
      <c r="I236" s="19">
        <f t="shared" si="84"/>
        <v>0.3149</v>
      </c>
      <c r="J236" s="32"/>
    </row>
    <row r="237">
      <c r="A237" s="17">
        <v>10.0</v>
      </c>
      <c r="B237" s="27">
        <v>0.0</v>
      </c>
      <c r="C237" s="27">
        <v>373.0</v>
      </c>
      <c r="D237" s="27">
        <v>0.0</v>
      </c>
      <c r="E237" s="27">
        <v>330.0</v>
      </c>
      <c r="F237" s="27">
        <v>20.0</v>
      </c>
      <c r="G237" s="5">
        <f t="shared" si="82"/>
        <v>0.2606</v>
      </c>
      <c r="H237" s="5">
        <f t="shared" si="83"/>
        <v>0.252</v>
      </c>
      <c r="I237" s="19">
        <f t="shared" si="84"/>
        <v>0.2563</v>
      </c>
      <c r="J237" s="32"/>
    </row>
    <row r="238">
      <c r="A238" s="27" t="s">
        <v>33</v>
      </c>
      <c r="B238" s="28">
        <f>SUM(B228:B237)</f>
        <v>13</v>
      </c>
      <c r="C238" s="29">
        <f>AVERAGE(C228:C237)</f>
        <v>322</v>
      </c>
      <c r="D238" s="29">
        <f>SUM(D228:D237)</f>
        <v>7</v>
      </c>
      <c r="E238" s="29">
        <f t="shared" ref="E238:F238" si="85">AVERAGE(E228:E237)</f>
        <v>179.7</v>
      </c>
      <c r="F238" s="29">
        <f t="shared" si="85"/>
        <v>13.4</v>
      </c>
      <c r="G238" s="5">
        <f t="shared" ref="G238:H238" si="86">Average(G228:G237)</f>
        <v>0.355</v>
      </c>
      <c r="H238" s="5">
        <f t="shared" si="86"/>
        <v>0.29654</v>
      </c>
      <c r="I238" s="19">
        <f t="shared" si="84"/>
        <v>0.32577</v>
      </c>
      <c r="J238" s="32"/>
    </row>
    <row r="240">
      <c r="A240" s="1"/>
      <c r="B240" s="1" t="s">
        <v>0</v>
      </c>
      <c r="C240" s="1" t="s">
        <v>83</v>
      </c>
      <c r="D240" s="1" t="s">
        <v>2</v>
      </c>
      <c r="E240" s="1" t="str">
        <f>"Game on " &amp; MATCH(MAX(I242:I251), I242:I251, 0) + ROW(I242) - 1 &amp; ". row"
</f>
        <v>Game on 242. row</v>
      </c>
      <c r="F240" s="33" t="s">
        <v>84</v>
      </c>
      <c r="I240" s="5"/>
    </row>
    <row r="241">
      <c r="A241" s="1" t="s">
        <v>85</v>
      </c>
      <c r="B241" s="1" t="s">
        <v>4</v>
      </c>
      <c r="C241" s="1" t="s">
        <v>5</v>
      </c>
      <c r="D241" s="1" t="s">
        <v>6</v>
      </c>
      <c r="E241" s="1" t="s">
        <v>7</v>
      </c>
      <c r="F241" s="1" t="s">
        <v>8</v>
      </c>
      <c r="G241" s="26"/>
      <c r="H241" s="26"/>
      <c r="I241" s="30"/>
      <c r="J241" s="26"/>
    </row>
    <row r="242">
      <c r="A242" s="17">
        <v>1.0</v>
      </c>
      <c r="B242" s="27">
        <v>2.0</v>
      </c>
      <c r="C242" s="27">
        <v>305.0</v>
      </c>
      <c r="D242" s="27">
        <v>0.0</v>
      </c>
      <c r="E242" s="27">
        <v>59.0</v>
      </c>
      <c r="F242" s="27">
        <v>13.0</v>
      </c>
      <c r="G242" s="5">
        <f t="shared" ref="G242:G251" si="87">(B242*0.5 + C242/100*0.2 + (51 - F242)/5*0.3)/10</f>
        <v>0.389</v>
      </c>
      <c r="H242" s="5">
        <f t="shared" ref="H242:H251" si="88">(D242*0.5 + E242/100*0.2 + (51 - F242)/5*0.3)/10</f>
        <v>0.2398</v>
      </c>
      <c r="I242" s="19">
        <f t="shared" ref="I242:I252" si="89">AVERAGE(G242,H242)</f>
        <v>0.3144</v>
      </c>
      <c r="J242" s="1" t="s">
        <v>15</v>
      </c>
    </row>
    <row r="243">
      <c r="A243" s="17">
        <v>2.0</v>
      </c>
      <c r="B243" s="27">
        <v>1.0</v>
      </c>
      <c r="C243" s="27">
        <v>211.0</v>
      </c>
      <c r="D243" s="27">
        <v>0.0</v>
      </c>
      <c r="E243" s="27">
        <v>80.0</v>
      </c>
      <c r="F243" s="27">
        <v>16.0</v>
      </c>
      <c r="G243" s="5">
        <f t="shared" si="87"/>
        <v>0.3022</v>
      </c>
      <c r="H243" s="5">
        <f t="shared" si="88"/>
        <v>0.226</v>
      </c>
      <c r="I243" s="19">
        <f t="shared" si="89"/>
        <v>0.2641</v>
      </c>
      <c r="J243" s="6">
        <f>B252/10</f>
        <v>0.5</v>
      </c>
    </row>
    <row r="244">
      <c r="A244" s="17">
        <v>3.0</v>
      </c>
      <c r="B244" s="27">
        <v>0.0</v>
      </c>
      <c r="C244" s="27">
        <v>81.0</v>
      </c>
      <c r="D244" s="27">
        <v>0.0</v>
      </c>
      <c r="E244" s="27">
        <v>46.0</v>
      </c>
      <c r="F244" s="27">
        <v>34.0</v>
      </c>
      <c r="G244" s="5">
        <f t="shared" si="87"/>
        <v>0.1182</v>
      </c>
      <c r="H244" s="5">
        <f t="shared" si="88"/>
        <v>0.1112</v>
      </c>
      <c r="I244" s="19">
        <f t="shared" si="89"/>
        <v>0.1147</v>
      </c>
      <c r="J244" s="1" t="s">
        <v>19</v>
      </c>
    </row>
    <row r="245">
      <c r="A245" s="17">
        <v>4.0</v>
      </c>
      <c r="B245" s="27">
        <v>0.0</v>
      </c>
      <c r="C245" s="27">
        <v>100.0</v>
      </c>
      <c r="D245" s="27">
        <v>0.0</v>
      </c>
      <c r="E245" s="27">
        <v>0.0</v>
      </c>
      <c r="F245" s="27">
        <v>30.0</v>
      </c>
      <c r="G245" s="5">
        <f t="shared" si="87"/>
        <v>0.146</v>
      </c>
      <c r="H245" s="5">
        <f t="shared" si="88"/>
        <v>0.126</v>
      </c>
      <c r="I245" s="19">
        <f t="shared" si="89"/>
        <v>0.136</v>
      </c>
      <c r="J245" s="6">
        <f>D252/10</f>
        <v>0.1</v>
      </c>
    </row>
    <row r="246">
      <c r="A246" s="17">
        <v>5.0</v>
      </c>
      <c r="B246" s="27">
        <v>1.0</v>
      </c>
      <c r="C246" s="27">
        <v>211.0</v>
      </c>
      <c r="D246" s="27">
        <v>0.0</v>
      </c>
      <c r="E246" s="27">
        <v>120.0</v>
      </c>
      <c r="F246" s="27">
        <v>33.0</v>
      </c>
      <c r="G246" s="5">
        <f t="shared" si="87"/>
        <v>0.2002</v>
      </c>
      <c r="H246" s="5">
        <f t="shared" si="88"/>
        <v>0.132</v>
      </c>
      <c r="I246" s="19">
        <f t="shared" si="89"/>
        <v>0.1661</v>
      </c>
      <c r="J246" s="7" t="s">
        <v>23</v>
      </c>
    </row>
    <row r="247">
      <c r="A247" s="17">
        <v>6.0</v>
      </c>
      <c r="B247" s="27">
        <v>0.0</v>
      </c>
      <c r="C247" s="27">
        <v>144.0</v>
      </c>
      <c r="D247" s="27">
        <v>0.0</v>
      </c>
      <c r="E247" s="27">
        <v>0.0</v>
      </c>
      <c r="F247" s="27">
        <v>45.0</v>
      </c>
      <c r="G247" s="5">
        <f t="shared" si="87"/>
        <v>0.0648</v>
      </c>
      <c r="H247" s="5">
        <f t="shared" si="88"/>
        <v>0.036</v>
      </c>
      <c r="I247" s="19">
        <f t="shared" si="89"/>
        <v>0.0504</v>
      </c>
      <c r="J247" s="8">
        <f>J243/J245</f>
        <v>5</v>
      </c>
    </row>
    <row r="248">
      <c r="A248" s="17">
        <v>7.0</v>
      </c>
      <c r="B248" s="27">
        <v>1.0</v>
      </c>
      <c r="C248" s="27">
        <v>100.0</v>
      </c>
      <c r="D248" s="27">
        <v>0.0</v>
      </c>
      <c r="E248" s="27">
        <v>148.0</v>
      </c>
      <c r="F248" s="27">
        <v>37.0</v>
      </c>
      <c r="G248" s="5">
        <f t="shared" si="87"/>
        <v>0.154</v>
      </c>
      <c r="H248" s="5">
        <f t="shared" si="88"/>
        <v>0.1136</v>
      </c>
      <c r="I248" s="19">
        <f t="shared" si="89"/>
        <v>0.1338</v>
      </c>
      <c r="J248" s="10" t="s">
        <v>27</v>
      </c>
    </row>
    <row r="249">
      <c r="A249" s="17">
        <v>8.0</v>
      </c>
      <c r="B249" s="27">
        <v>0.0</v>
      </c>
      <c r="C249" s="27">
        <v>0.0</v>
      </c>
      <c r="D249" s="27">
        <v>1.0</v>
      </c>
      <c r="E249" s="27">
        <v>100.0</v>
      </c>
      <c r="F249" s="27">
        <v>46.0</v>
      </c>
      <c r="G249" s="5">
        <f t="shared" si="87"/>
        <v>0.03</v>
      </c>
      <c r="H249" s="5">
        <f t="shared" si="88"/>
        <v>0.1</v>
      </c>
      <c r="I249" s="19">
        <f t="shared" si="89"/>
        <v>0.065</v>
      </c>
      <c r="J249" s="13">
        <f>J245/J243</f>
        <v>0.2</v>
      </c>
    </row>
    <row r="250">
      <c r="A250" s="17">
        <v>9.0</v>
      </c>
      <c r="B250" s="27">
        <v>0.0</v>
      </c>
      <c r="C250" s="27">
        <v>350.0</v>
      </c>
      <c r="D250" s="27">
        <v>0.0</v>
      </c>
      <c r="E250" s="27">
        <v>95.0</v>
      </c>
      <c r="F250" s="27">
        <v>23.0</v>
      </c>
      <c r="G250" s="5">
        <f t="shared" si="87"/>
        <v>0.238</v>
      </c>
      <c r="H250" s="5">
        <f t="shared" si="88"/>
        <v>0.187</v>
      </c>
      <c r="I250" s="19">
        <f t="shared" si="89"/>
        <v>0.2125</v>
      </c>
      <c r="J250" s="32"/>
    </row>
    <row r="251">
      <c r="A251" s="17">
        <v>10.0</v>
      </c>
      <c r="B251" s="27">
        <v>0.0</v>
      </c>
      <c r="C251" s="27">
        <v>109.0</v>
      </c>
      <c r="D251" s="27">
        <v>0.0</v>
      </c>
      <c r="E251" s="27">
        <v>86.0</v>
      </c>
      <c r="F251" s="27">
        <v>45.0</v>
      </c>
      <c r="G251" s="5">
        <f t="shared" si="87"/>
        <v>0.0578</v>
      </c>
      <c r="H251" s="5">
        <f t="shared" si="88"/>
        <v>0.0532</v>
      </c>
      <c r="I251" s="19">
        <f t="shared" si="89"/>
        <v>0.0555</v>
      </c>
      <c r="J251" s="32"/>
    </row>
    <row r="252">
      <c r="A252" s="27" t="s">
        <v>33</v>
      </c>
      <c r="B252" s="28">
        <f>SUM(B242:B251)</f>
        <v>5</v>
      </c>
      <c r="C252" s="29">
        <f>AVERAGE(C242:C251)</f>
        <v>161.1</v>
      </c>
      <c r="D252" s="29">
        <f>SUM(D242:D251)</f>
        <v>1</v>
      </c>
      <c r="E252" s="29">
        <f t="shared" ref="E252:F252" si="90">AVERAGE(E242:E251)</f>
        <v>73.4</v>
      </c>
      <c r="F252" s="29">
        <f t="shared" si="90"/>
        <v>32.2</v>
      </c>
      <c r="G252" s="5">
        <f t="shared" ref="G252:H252" si="91">Average(G242:G251)</f>
        <v>0.17002</v>
      </c>
      <c r="H252" s="5">
        <f t="shared" si="91"/>
        <v>0.13248</v>
      </c>
      <c r="I252" s="19">
        <f t="shared" si="89"/>
        <v>0.15125</v>
      </c>
      <c r="J252" s="32"/>
    </row>
    <row r="254">
      <c r="A254" s="1"/>
      <c r="B254" s="1" t="s">
        <v>0</v>
      </c>
      <c r="C254" s="1" t="s">
        <v>86</v>
      </c>
      <c r="D254" s="1" t="s">
        <v>2</v>
      </c>
      <c r="E254" s="1" t="str">
        <f>"Game on " &amp; MATCH(MAX(I256:I265), I256:I265, 0) + ROW(I256) - 1 &amp; ". row"
</f>
        <v>Game on 260. row</v>
      </c>
      <c r="I254" s="5"/>
    </row>
    <row r="255">
      <c r="A255" s="1" t="s">
        <v>87</v>
      </c>
      <c r="B255" s="1" t="s">
        <v>4</v>
      </c>
      <c r="C255" s="1" t="s">
        <v>5</v>
      </c>
      <c r="D255" s="1" t="s">
        <v>6</v>
      </c>
      <c r="E255" s="1" t="s">
        <v>7</v>
      </c>
      <c r="F255" s="1" t="s">
        <v>8</v>
      </c>
      <c r="G255" s="26"/>
      <c r="H255" s="26"/>
      <c r="I255" s="30"/>
      <c r="J255" s="26"/>
    </row>
    <row r="256">
      <c r="A256" s="17">
        <v>1.0</v>
      </c>
      <c r="B256" s="27">
        <v>0.0</v>
      </c>
      <c r="C256" s="27">
        <v>170.0</v>
      </c>
      <c r="D256" s="27">
        <v>0.0</v>
      </c>
      <c r="E256" s="27">
        <v>100.0</v>
      </c>
      <c r="F256" s="27">
        <v>35.0</v>
      </c>
      <c r="G256" s="5">
        <f t="shared" ref="G256:G265" si="92">(B256*0.5 + C256/100*0.2 + (51 - F256)/5*0.3)/10</f>
        <v>0.13</v>
      </c>
      <c r="H256" s="5">
        <f t="shared" ref="H256:H265" si="93">(D256*0.5 + E256/100*0.2 + (51 - F256)/5*0.3)/10</f>
        <v>0.116</v>
      </c>
      <c r="I256" s="19">
        <f t="shared" ref="I256:I266" si="94">AVERAGE(G256,H256)</f>
        <v>0.123</v>
      </c>
      <c r="J256" s="1" t="s">
        <v>15</v>
      </c>
    </row>
    <row r="257">
      <c r="A257" s="17">
        <v>2.0</v>
      </c>
      <c r="B257" s="27">
        <v>4.0</v>
      </c>
      <c r="C257" s="27">
        <v>473.0</v>
      </c>
      <c r="D257" s="27">
        <v>3.0</v>
      </c>
      <c r="E257" s="27">
        <v>452.0</v>
      </c>
      <c r="F257" s="27">
        <v>3.0</v>
      </c>
      <c r="G257" s="5">
        <f t="shared" si="92"/>
        <v>0.5826</v>
      </c>
      <c r="H257" s="5">
        <f t="shared" si="93"/>
        <v>0.5284</v>
      </c>
      <c r="I257" s="19">
        <f t="shared" si="94"/>
        <v>0.5555</v>
      </c>
      <c r="J257" s="6">
        <f>B266/10</f>
        <v>1.6</v>
      </c>
    </row>
    <row r="258">
      <c r="A258" s="17">
        <v>3.0</v>
      </c>
      <c r="B258" s="27">
        <v>0.0</v>
      </c>
      <c r="C258" s="27">
        <v>111.0</v>
      </c>
      <c r="D258" s="27">
        <v>3.0</v>
      </c>
      <c r="E258" s="27">
        <v>362.0</v>
      </c>
      <c r="F258" s="27">
        <v>7.0</v>
      </c>
      <c r="G258" s="5">
        <f t="shared" si="92"/>
        <v>0.2862</v>
      </c>
      <c r="H258" s="5">
        <f t="shared" si="93"/>
        <v>0.4864</v>
      </c>
      <c r="I258" s="19">
        <f t="shared" si="94"/>
        <v>0.3863</v>
      </c>
      <c r="J258" s="1" t="s">
        <v>19</v>
      </c>
    </row>
    <row r="259">
      <c r="A259" s="17">
        <v>4.0</v>
      </c>
      <c r="B259" s="27">
        <v>1.0</v>
      </c>
      <c r="C259" s="27">
        <v>263.0</v>
      </c>
      <c r="D259" s="27">
        <v>2.0</v>
      </c>
      <c r="E259" s="27">
        <v>195.0</v>
      </c>
      <c r="F259" s="27">
        <v>30.0</v>
      </c>
      <c r="G259" s="5">
        <f t="shared" si="92"/>
        <v>0.2286</v>
      </c>
      <c r="H259" s="5">
        <f t="shared" si="93"/>
        <v>0.265</v>
      </c>
      <c r="I259" s="19">
        <f t="shared" si="94"/>
        <v>0.2468</v>
      </c>
      <c r="J259" s="6">
        <f>D266/10</f>
        <v>1.6</v>
      </c>
    </row>
    <row r="260">
      <c r="A260" s="17">
        <v>5.0</v>
      </c>
      <c r="B260" s="27">
        <v>3.0</v>
      </c>
      <c r="C260" s="27">
        <v>585.0</v>
      </c>
      <c r="D260" s="27">
        <v>3.0</v>
      </c>
      <c r="E260" s="27">
        <v>547.0</v>
      </c>
      <c r="F260" s="27">
        <v>2.0</v>
      </c>
      <c r="G260" s="5">
        <f t="shared" si="92"/>
        <v>0.561</v>
      </c>
      <c r="H260" s="5">
        <f t="shared" si="93"/>
        <v>0.5534</v>
      </c>
      <c r="I260" s="19">
        <f t="shared" si="94"/>
        <v>0.5572</v>
      </c>
      <c r="J260" s="7" t="s">
        <v>23</v>
      </c>
    </row>
    <row r="261">
      <c r="A261" s="17">
        <v>6.0</v>
      </c>
      <c r="B261" s="27">
        <v>1.0</v>
      </c>
      <c r="C261" s="27">
        <v>100.0</v>
      </c>
      <c r="D261" s="27">
        <v>1.0</v>
      </c>
      <c r="E261" s="27">
        <v>180.0</v>
      </c>
      <c r="F261" s="27">
        <v>31.0</v>
      </c>
      <c r="G261" s="5">
        <f t="shared" si="92"/>
        <v>0.19</v>
      </c>
      <c r="H261" s="5">
        <f t="shared" si="93"/>
        <v>0.206</v>
      </c>
      <c r="I261" s="19">
        <f t="shared" si="94"/>
        <v>0.198</v>
      </c>
      <c r="J261" s="8">
        <f>J257/J259</f>
        <v>1</v>
      </c>
    </row>
    <row r="262">
      <c r="A262" s="17">
        <v>7.0</v>
      </c>
      <c r="B262" s="27">
        <v>2.0</v>
      </c>
      <c r="C262" s="27">
        <v>357.0</v>
      </c>
      <c r="D262" s="27">
        <v>1.0</v>
      </c>
      <c r="E262" s="27">
        <v>95.0</v>
      </c>
      <c r="F262" s="27">
        <v>13.0</v>
      </c>
      <c r="G262" s="5">
        <f t="shared" si="92"/>
        <v>0.3994</v>
      </c>
      <c r="H262" s="5">
        <f t="shared" si="93"/>
        <v>0.297</v>
      </c>
      <c r="I262" s="19">
        <f t="shared" si="94"/>
        <v>0.3482</v>
      </c>
      <c r="J262" s="10" t="s">
        <v>27</v>
      </c>
    </row>
    <row r="263">
      <c r="A263" s="17">
        <v>8.0</v>
      </c>
      <c r="B263" s="27">
        <v>0.0</v>
      </c>
      <c r="C263" s="27">
        <v>50.0</v>
      </c>
      <c r="D263" s="27">
        <v>0.0</v>
      </c>
      <c r="E263" s="27">
        <v>0.0</v>
      </c>
      <c r="F263" s="27">
        <v>41.0</v>
      </c>
      <c r="G263" s="5">
        <f t="shared" si="92"/>
        <v>0.07</v>
      </c>
      <c r="H263" s="5">
        <f t="shared" si="93"/>
        <v>0.06</v>
      </c>
      <c r="I263" s="19">
        <f t="shared" si="94"/>
        <v>0.065</v>
      </c>
      <c r="J263" s="13">
        <f>J259/J257</f>
        <v>1</v>
      </c>
    </row>
    <row r="264">
      <c r="A264" s="17">
        <v>9.0</v>
      </c>
      <c r="B264" s="27">
        <v>2.0</v>
      </c>
      <c r="C264" s="27">
        <v>355.0</v>
      </c>
      <c r="D264" s="27">
        <v>1.0</v>
      </c>
      <c r="E264" s="27">
        <v>141.0</v>
      </c>
      <c r="F264" s="27">
        <v>5.0</v>
      </c>
      <c r="G264" s="5">
        <f t="shared" si="92"/>
        <v>0.447</v>
      </c>
      <c r="H264" s="5">
        <f t="shared" si="93"/>
        <v>0.3542</v>
      </c>
      <c r="I264" s="19">
        <f t="shared" si="94"/>
        <v>0.4006</v>
      </c>
      <c r="J264" s="32"/>
    </row>
    <row r="265">
      <c r="A265" s="17">
        <v>10.0</v>
      </c>
      <c r="B265" s="27">
        <v>3.0</v>
      </c>
      <c r="C265" s="27">
        <v>581.0</v>
      </c>
      <c r="D265" s="27">
        <v>2.0</v>
      </c>
      <c r="E265" s="27">
        <v>402.0</v>
      </c>
      <c r="F265" s="27">
        <v>9.0</v>
      </c>
      <c r="G265" s="5">
        <f t="shared" si="92"/>
        <v>0.5182</v>
      </c>
      <c r="H265" s="5">
        <f t="shared" si="93"/>
        <v>0.4324</v>
      </c>
      <c r="I265" s="19">
        <f t="shared" si="94"/>
        <v>0.4753</v>
      </c>
      <c r="J265" s="32"/>
    </row>
    <row r="266">
      <c r="A266" s="27" t="s">
        <v>33</v>
      </c>
      <c r="B266" s="28">
        <f>SUM(B256:B265)</f>
        <v>16</v>
      </c>
      <c r="C266" s="29">
        <f>AVERAGE(C256:C265)</f>
        <v>304.5</v>
      </c>
      <c r="D266" s="29">
        <f>SUM(D256:D265)</f>
        <v>16</v>
      </c>
      <c r="E266" s="29">
        <f t="shared" ref="E266:F266" si="95">AVERAGE(E256:E265)</f>
        <v>247.4</v>
      </c>
      <c r="F266" s="29">
        <f t="shared" si="95"/>
        <v>17.6</v>
      </c>
      <c r="G266" s="5">
        <f t="shared" ref="G266:H266" si="96">Average(G256:G265)</f>
        <v>0.3413</v>
      </c>
      <c r="H266" s="5">
        <f t="shared" si="96"/>
        <v>0.32988</v>
      </c>
      <c r="I266" s="19">
        <f t="shared" si="94"/>
        <v>0.33559</v>
      </c>
      <c r="J266" s="32"/>
    </row>
    <row r="268">
      <c r="A268" s="1"/>
      <c r="B268" s="1" t="s">
        <v>0</v>
      </c>
      <c r="C268" s="1" t="s">
        <v>88</v>
      </c>
      <c r="D268" s="1" t="s">
        <v>2</v>
      </c>
      <c r="E268" s="1" t="str">
        <f>"Game on " &amp; MATCH(MAX(I270:I279), I270:I279, 0) + ROW(I270) - 1 &amp; ". row"
</f>
        <v>Game on 279. row</v>
      </c>
      <c r="I268" s="5"/>
    </row>
    <row r="269">
      <c r="A269" s="1" t="s">
        <v>89</v>
      </c>
      <c r="B269" s="1" t="s">
        <v>4</v>
      </c>
      <c r="C269" s="1" t="s">
        <v>5</v>
      </c>
      <c r="D269" s="1" t="s">
        <v>6</v>
      </c>
      <c r="E269" s="1" t="s">
        <v>7</v>
      </c>
      <c r="F269" s="1" t="s">
        <v>8</v>
      </c>
      <c r="G269" s="26"/>
      <c r="H269" s="26"/>
      <c r="I269" s="30"/>
      <c r="J269" s="26"/>
    </row>
    <row r="270">
      <c r="A270" s="17">
        <v>1.0</v>
      </c>
      <c r="B270" s="27">
        <v>0.0</v>
      </c>
      <c r="C270" s="27">
        <v>179.0</v>
      </c>
      <c r="D270" s="27">
        <v>3.0</v>
      </c>
      <c r="E270" s="27">
        <v>201.0</v>
      </c>
      <c r="F270" s="27">
        <v>21.0</v>
      </c>
      <c r="G270" s="5">
        <f t="shared" ref="G270:G279" si="97">(B270*0.5 + C270/100*0.2 + (51 - F270)/5*0.3)/10</f>
        <v>0.2158</v>
      </c>
      <c r="H270" s="5">
        <f t="shared" ref="H270:H279" si="98">(D270*0.5 + E270/100*0.2 + (51 - F270)/5*0.3)/10</f>
        <v>0.3702</v>
      </c>
      <c r="I270" s="19">
        <f t="shared" ref="I270:I280" si="99">AVERAGE(G270,H270)</f>
        <v>0.293</v>
      </c>
      <c r="J270" s="1" t="s">
        <v>15</v>
      </c>
    </row>
    <row r="271">
      <c r="A271" s="17">
        <v>2.0</v>
      </c>
      <c r="B271" s="27">
        <v>0.0</v>
      </c>
      <c r="C271" s="27">
        <v>170.0</v>
      </c>
      <c r="D271" s="27">
        <v>0.0</v>
      </c>
      <c r="E271" s="27">
        <v>155.0</v>
      </c>
      <c r="F271" s="27">
        <v>18.0</v>
      </c>
      <c r="G271" s="5">
        <f t="shared" si="97"/>
        <v>0.232</v>
      </c>
      <c r="H271" s="5">
        <f t="shared" si="98"/>
        <v>0.229</v>
      </c>
      <c r="I271" s="19">
        <f t="shared" si="99"/>
        <v>0.2305</v>
      </c>
      <c r="J271" s="6">
        <f>B280/10</f>
        <v>1.6</v>
      </c>
    </row>
    <row r="272">
      <c r="A272" s="17">
        <v>3.0</v>
      </c>
      <c r="B272" s="27">
        <v>1.0</v>
      </c>
      <c r="C272" s="27">
        <v>77.0</v>
      </c>
      <c r="D272" s="27">
        <v>0.0</v>
      </c>
      <c r="E272" s="27">
        <v>19.0</v>
      </c>
      <c r="F272" s="27">
        <v>34.0</v>
      </c>
      <c r="G272" s="5">
        <f t="shared" si="97"/>
        <v>0.1674</v>
      </c>
      <c r="H272" s="5">
        <f t="shared" si="98"/>
        <v>0.1058</v>
      </c>
      <c r="I272" s="19">
        <f t="shared" si="99"/>
        <v>0.1366</v>
      </c>
      <c r="J272" s="1" t="s">
        <v>19</v>
      </c>
    </row>
    <row r="273">
      <c r="A273" s="17">
        <v>4.0</v>
      </c>
      <c r="B273" s="27">
        <v>6.0</v>
      </c>
      <c r="C273" s="27">
        <v>580.0</v>
      </c>
      <c r="D273" s="27">
        <v>1.0</v>
      </c>
      <c r="E273" s="27">
        <v>87.0</v>
      </c>
      <c r="F273" s="27">
        <v>5.0</v>
      </c>
      <c r="G273" s="5">
        <f t="shared" si="97"/>
        <v>0.692</v>
      </c>
      <c r="H273" s="5">
        <f t="shared" si="98"/>
        <v>0.3434</v>
      </c>
      <c r="I273" s="19">
        <f t="shared" si="99"/>
        <v>0.5177</v>
      </c>
      <c r="J273" s="6">
        <f>D280/10</f>
        <v>0.5</v>
      </c>
    </row>
    <row r="274">
      <c r="A274" s="17">
        <v>5.0</v>
      </c>
      <c r="B274" s="27">
        <v>0.0</v>
      </c>
      <c r="C274" s="27">
        <v>119.0</v>
      </c>
      <c r="D274" s="27">
        <v>1.0</v>
      </c>
      <c r="E274" s="27">
        <v>229.0</v>
      </c>
      <c r="F274" s="27">
        <v>3.0</v>
      </c>
      <c r="G274" s="5">
        <f t="shared" si="97"/>
        <v>0.3118</v>
      </c>
      <c r="H274" s="5">
        <f t="shared" si="98"/>
        <v>0.3838</v>
      </c>
      <c r="I274" s="19">
        <f t="shared" si="99"/>
        <v>0.3478</v>
      </c>
      <c r="J274" s="7" t="s">
        <v>23</v>
      </c>
    </row>
    <row r="275">
      <c r="A275" s="17">
        <v>6.0</v>
      </c>
      <c r="B275" s="27">
        <v>2.0</v>
      </c>
      <c r="C275" s="27">
        <v>378.0</v>
      </c>
      <c r="D275" s="27">
        <v>0.0</v>
      </c>
      <c r="E275" s="27">
        <v>64.0</v>
      </c>
      <c r="F275" s="27">
        <v>5.0</v>
      </c>
      <c r="G275" s="5">
        <f t="shared" si="97"/>
        <v>0.4516</v>
      </c>
      <c r="H275" s="5">
        <f t="shared" si="98"/>
        <v>0.2888</v>
      </c>
      <c r="I275" s="19">
        <f t="shared" si="99"/>
        <v>0.3702</v>
      </c>
      <c r="J275" s="8">
        <f>J271/J273</f>
        <v>3.2</v>
      </c>
    </row>
    <row r="276">
      <c r="A276" s="17">
        <v>7.0</v>
      </c>
      <c r="B276" s="27">
        <v>0.0</v>
      </c>
      <c r="C276" s="27">
        <v>163.0</v>
      </c>
      <c r="D276" s="27">
        <v>0.0</v>
      </c>
      <c r="E276" s="27">
        <v>123.0</v>
      </c>
      <c r="F276" s="27">
        <v>9.0</v>
      </c>
      <c r="G276" s="5">
        <f t="shared" si="97"/>
        <v>0.2846</v>
      </c>
      <c r="H276" s="5">
        <f t="shared" si="98"/>
        <v>0.2766</v>
      </c>
      <c r="I276" s="19">
        <f t="shared" si="99"/>
        <v>0.2806</v>
      </c>
      <c r="J276" s="10" t="s">
        <v>27</v>
      </c>
    </row>
    <row r="277">
      <c r="A277" s="17">
        <v>8.0</v>
      </c>
      <c r="B277" s="27">
        <v>0.0</v>
      </c>
      <c r="C277" s="27">
        <v>174.0</v>
      </c>
      <c r="D277" s="27">
        <v>0.0</v>
      </c>
      <c r="E277" s="27">
        <v>0.0</v>
      </c>
      <c r="F277" s="27">
        <v>18.0</v>
      </c>
      <c r="G277" s="5">
        <f t="shared" si="97"/>
        <v>0.2328</v>
      </c>
      <c r="H277" s="5">
        <f t="shared" si="98"/>
        <v>0.198</v>
      </c>
      <c r="I277" s="19">
        <f t="shared" si="99"/>
        <v>0.2154</v>
      </c>
      <c r="J277" s="13">
        <f>J273/J271</f>
        <v>0.3125</v>
      </c>
    </row>
    <row r="278">
      <c r="A278" s="17">
        <v>9.0</v>
      </c>
      <c r="B278" s="27">
        <v>0.0</v>
      </c>
      <c r="C278" s="27">
        <v>124.0</v>
      </c>
      <c r="D278" s="27">
        <v>0.0</v>
      </c>
      <c r="E278" s="27">
        <v>0.0</v>
      </c>
      <c r="F278" s="27">
        <v>24.0</v>
      </c>
      <c r="G278" s="5">
        <f t="shared" si="97"/>
        <v>0.1868</v>
      </c>
      <c r="H278" s="5">
        <f t="shared" si="98"/>
        <v>0.162</v>
      </c>
      <c r="I278" s="19">
        <f t="shared" si="99"/>
        <v>0.1744</v>
      </c>
      <c r="J278" s="32"/>
    </row>
    <row r="279">
      <c r="A279" s="17">
        <v>10.0</v>
      </c>
      <c r="B279" s="27">
        <v>7.0</v>
      </c>
      <c r="C279" s="27">
        <v>810.0</v>
      </c>
      <c r="D279" s="27">
        <v>0.0</v>
      </c>
      <c r="E279" s="27">
        <v>229.0</v>
      </c>
      <c r="F279" s="27">
        <v>4.0</v>
      </c>
      <c r="G279" s="5">
        <f t="shared" si="97"/>
        <v>0.794</v>
      </c>
      <c r="H279" s="5">
        <f t="shared" si="98"/>
        <v>0.3278</v>
      </c>
      <c r="I279" s="19">
        <f t="shared" si="99"/>
        <v>0.5609</v>
      </c>
      <c r="J279" s="32"/>
    </row>
    <row r="280">
      <c r="A280" s="27" t="s">
        <v>33</v>
      </c>
      <c r="B280" s="28">
        <f>SUM(B270:B279)</f>
        <v>16</v>
      </c>
      <c r="C280" s="29">
        <f>AVERAGE(C270:C279)</f>
        <v>277.4</v>
      </c>
      <c r="D280" s="29">
        <f>SUM(D270:D279)</f>
        <v>5</v>
      </c>
      <c r="E280" s="29">
        <f t="shared" ref="E280:F280" si="100">AVERAGE(E270:E279)</f>
        <v>110.7</v>
      </c>
      <c r="F280" s="29">
        <f t="shared" si="100"/>
        <v>14.1</v>
      </c>
      <c r="G280" s="5">
        <f t="shared" ref="G280:H280" si="101">Average(G270:G279)</f>
        <v>0.35688</v>
      </c>
      <c r="H280" s="5">
        <f t="shared" si="101"/>
        <v>0.26854</v>
      </c>
      <c r="I280" s="19">
        <f t="shared" si="99"/>
        <v>0.31271</v>
      </c>
      <c r="J280" s="32"/>
    </row>
    <row r="282">
      <c r="A282" s="1"/>
      <c r="B282" s="1" t="s">
        <v>0</v>
      </c>
      <c r="C282" s="1" t="s">
        <v>90</v>
      </c>
      <c r="D282" s="1" t="s">
        <v>2</v>
      </c>
      <c r="E282" s="1" t="str">
        <f>"Game on " &amp; MATCH(MAX(I284:I293), I284:I293, 0) + ROW(I284) - 1 &amp; ". row"
</f>
        <v>Game on 287. row</v>
      </c>
      <c r="I282" s="5"/>
    </row>
    <row r="283">
      <c r="A283" s="1" t="s">
        <v>91</v>
      </c>
      <c r="B283" s="1" t="s">
        <v>4</v>
      </c>
      <c r="C283" s="1" t="s">
        <v>5</v>
      </c>
      <c r="D283" s="1" t="s">
        <v>6</v>
      </c>
      <c r="E283" s="1" t="s">
        <v>7</v>
      </c>
      <c r="F283" s="1" t="s">
        <v>8</v>
      </c>
      <c r="G283" s="26"/>
      <c r="H283" s="26"/>
      <c r="I283" s="30"/>
      <c r="J283" s="26"/>
    </row>
    <row r="284">
      <c r="A284" s="17">
        <v>1.0</v>
      </c>
      <c r="B284" s="27">
        <v>0.0</v>
      </c>
      <c r="C284" s="27">
        <v>108.0</v>
      </c>
      <c r="D284" s="27">
        <v>1.0</v>
      </c>
      <c r="E284" s="27">
        <v>129.0</v>
      </c>
      <c r="F284" s="27">
        <v>40.0</v>
      </c>
      <c r="G284" s="5">
        <f t="shared" ref="G284:G293" si="102">(B284*0.5 + C284/100*0.2 + (51 - F284)/5*0.3)/10</f>
        <v>0.0876</v>
      </c>
      <c r="H284" s="5">
        <f t="shared" ref="H284:H293" si="103">(D284*0.5 + E284/100*0.2 + (51 - F284)/5*0.3)/10</f>
        <v>0.1418</v>
      </c>
      <c r="I284" s="19">
        <f t="shared" ref="I284:I294" si="104">AVERAGE(G284,H284)</f>
        <v>0.1147</v>
      </c>
      <c r="J284" s="1" t="s">
        <v>15</v>
      </c>
    </row>
    <row r="285">
      <c r="A285" s="17">
        <v>2.0</v>
      </c>
      <c r="B285" s="27">
        <v>1.0</v>
      </c>
      <c r="C285" s="27">
        <v>64.0</v>
      </c>
      <c r="D285" s="27">
        <v>1.0</v>
      </c>
      <c r="E285" s="27">
        <v>236.0</v>
      </c>
      <c r="F285" s="27">
        <v>33.0</v>
      </c>
      <c r="G285" s="5">
        <f t="shared" si="102"/>
        <v>0.1708</v>
      </c>
      <c r="H285" s="5">
        <f t="shared" si="103"/>
        <v>0.2052</v>
      </c>
      <c r="I285" s="19">
        <f t="shared" si="104"/>
        <v>0.188</v>
      </c>
      <c r="J285" s="6">
        <f>B294/10</f>
        <v>1</v>
      </c>
    </row>
    <row r="286">
      <c r="A286" s="17">
        <v>3.0</v>
      </c>
      <c r="B286" s="27">
        <v>0.0</v>
      </c>
      <c r="C286" s="27">
        <v>55.0</v>
      </c>
      <c r="D286" s="27">
        <v>1.0</v>
      </c>
      <c r="E286" s="27">
        <v>125.0</v>
      </c>
      <c r="F286" s="27">
        <v>6.0</v>
      </c>
      <c r="G286" s="5">
        <f t="shared" si="102"/>
        <v>0.281</v>
      </c>
      <c r="H286" s="5">
        <f t="shared" si="103"/>
        <v>0.345</v>
      </c>
      <c r="I286" s="19">
        <f t="shared" si="104"/>
        <v>0.313</v>
      </c>
      <c r="J286" s="1" t="s">
        <v>19</v>
      </c>
    </row>
    <row r="287">
      <c r="A287" s="17">
        <v>4.0</v>
      </c>
      <c r="B287" s="27">
        <v>6.0</v>
      </c>
      <c r="C287" s="27">
        <v>852.0</v>
      </c>
      <c r="D287" s="27">
        <v>2.0</v>
      </c>
      <c r="E287" s="27">
        <v>349.0</v>
      </c>
      <c r="F287" s="27">
        <v>9.0</v>
      </c>
      <c r="G287" s="5">
        <f t="shared" si="102"/>
        <v>0.7224</v>
      </c>
      <c r="H287" s="5">
        <f t="shared" si="103"/>
        <v>0.4218</v>
      </c>
      <c r="I287" s="19">
        <f t="shared" si="104"/>
        <v>0.5721</v>
      </c>
      <c r="J287" s="6">
        <f>D294/10</f>
        <v>0.7</v>
      </c>
    </row>
    <row r="288">
      <c r="A288" s="17">
        <v>5.0</v>
      </c>
      <c r="B288" s="27">
        <v>1.0</v>
      </c>
      <c r="C288" s="27">
        <v>196.0</v>
      </c>
      <c r="D288" s="27">
        <v>0.0</v>
      </c>
      <c r="E288" s="27">
        <v>153.0</v>
      </c>
      <c r="F288" s="27">
        <v>9.0</v>
      </c>
      <c r="G288" s="5">
        <f t="shared" si="102"/>
        <v>0.3412</v>
      </c>
      <c r="H288" s="5">
        <f t="shared" si="103"/>
        <v>0.2826</v>
      </c>
      <c r="I288" s="19">
        <f t="shared" si="104"/>
        <v>0.3119</v>
      </c>
      <c r="J288" s="7" t="s">
        <v>23</v>
      </c>
    </row>
    <row r="289">
      <c r="A289" s="17">
        <v>6.0</v>
      </c>
      <c r="B289" s="27">
        <v>0.0</v>
      </c>
      <c r="C289" s="27">
        <v>472.0</v>
      </c>
      <c r="D289" s="27">
        <v>0.0</v>
      </c>
      <c r="E289" s="27">
        <v>121.0</v>
      </c>
      <c r="F289" s="27">
        <v>17.0</v>
      </c>
      <c r="G289" s="5">
        <f t="shared" si="102"/>
        <v>0.2984</v>
      </c>
      <c r="H289" s="5">
        <f t="shared" si="103"/>
        <v>0.2282</v>
      </c>
      <c r="I289" s="19">
        <f t="shared" si="104"/>
        <v>0.2633</v>
      </c>
      <c r="J289" s="8">
        <f>J285/J287</f>
        <v>1.428571429</v>
      </c>
    </row>
    <row r="290">
      <c r="A290" s="17">
        <v>7.0</v>
      </c>
      <c r="B290" s="27">
        <v>0.0</v>
      </c>
      <c r="C290" s="27">
        <v>183.0</v>
      </c>
      <c r="D290" s="27">
        <v>2.0</v>
      </c>
      <c r="E290" s="27">
        <v>229.0</v>
      </c>
      <c r="F290" s="27">
        <v>19.0</v>
      </c>
      <c r="G290" s="5">
        <f t="shared" si="102"/>
        <v>0.2286</v>
      </c>
      <c r="H290" s="5">
        <f t="shared" si="103"/>
        <v>0.3378</v>
      </c>
      <c r="I290" s="19">
        <f t="shared" si="104"/>
        <v>0.2832</v>
      </c>
      <c r="J290" s="10" t="s">
        <v>27</v>
      </c>
    </row>
    <row r="291">
      <c r="A291" s="17">
        <v>8.0</v>
      </c>
      <c r="B291" s="27">
        <v>0.0</v>
      </c>
      <c r="C291" s="27">
        <v>33.0</v>
      </c>
      <c r="D291" s="27">
        <v>0.0</v>
      </c>
      <c r="E291" s="27">
        <v>135.0</v>
      </c>
      <c r="F291" s="27">
        <v>23.0</v>
      </c>
      <c r="G291" s="5">
        <f t="shared" si="102"/>
        <v>0.1746</v>
      </c>
      <c r="H291" s="5">
        <f t="shared" si="103"/>
        <v>0.195</v>
      </c>
      <c r="I291" s="19">
        <f t="shared" si="104"/>
        <v>0.1848</v>
      </c>
      <c r="J291" s="13">
        <f>J287/J285</f>
        <v>0.7</v>
      </c>
    </row>
    <row r="292">
      <c r="A292" s="17">
        <v>9.0</v>
      </c>
      <c r="B292" s="27">
        <v>0.0</v>
      </c>
      <c r="C292" s="27">
        <v>0.0</v>
      </c>
      <c r="D292" s="27">
        <v>0.0</v>
      </c>
      <c r="E292" s="27">
        <v>0.0</v>
      </c>
      <c r="F292" s="27">
        <v>41.0</v>
      </c>
      <c r="G292" s="5">
        <f t="shared" si="102"/>
        <v>0.06</v>
      </c>
      <c r="H292" s="5">
        <f t="shared" si="103"/>
        <v>0.06</v>
      </c>
      <c r="I292" s="19">
        <f t="shared" si="104"/>
        <v>0.06</v>
      </c>
      <c r="J292" s="32"/>
    </row>
    <row r="293">
      <c r="A293" s="17">
        <v>10.0</v>
      </c>
      <c r="B293" s="27">
        <v>2.0</v>
      </c>
      <c r="C293" s="27">
        <v>323.0</v>
      </c>
      <c r="D293" s="27">
        <v>0.0</v>
      </c>
      <c r="E293" s="27">
        <v>113.0</v>
      </c>
      <c r="F293" s="27">
        <v>31.0</v>
      </c>
      <c r="G293" s="5">
        <f t="shared" si="102"/>
        <v>0.2846</v>
      </c>
      <c r="H293" s="5">
        <f t="shared" si="103"/>
        <v>0.1426</v>
      </c>
      <c r="I293" s="19">
        <f t="shared" si="104"/>
        <v>0.2136</v>
      </c>
      <c r="J293" s="32"/>
    </row>
    <row r="294">
      <c r="A294" s="27" t="s">
        <v>33</v>
      </c>
      <c r="B294" s="28">
        <f>SUM(B284:B293)</f>
        <v>10</v>
      </c>
      <c r="C294" s="29">
        <f>AVERAGE(C284:C293)</f>
        <v>228.6</v>
      </c>
      <c r="D294" s="29">
        <f>SUM(D284:D293)</f>
        <v>7</v>
      </c>
      <c r="E294" s="29">
        <f t="shared" ref="E294:F294" si="105">AVERAGE(E284:E293)</f>
        <v>159</v>
      </c>
      <c r="F294" s="29">
        <f t="shared" si="105"/>
        <v>22.8</v>
      </c>
      <c r="G294" s="5">
        <f t="shared" ref="G294:H294" si="106">Average(G284:G293)</f>
        <v>0.26492</v>
      </c>
      <c r="H294" s="5">
        <f t="shared" si="106"/>
        <v>0.236</v>
      </c>
      <c r="I294" s="19">
        <f t="shared" si="104"/>
        <v>0.25046</v>
      </c>
      <c r="J294" s="32"/>
    </row>
    <row r="296">
      <c r="A296" s="1"/>
      <c r="B296" s="1" t="s">
        <v>0</v>
      </c>
      <c r="C296" s="1" t="s">
        <v>92</v>
      </c>
      <c r="D296" s="1" t="s">
        <v>2</v>
      </c>
      <c r="E296" s="1" t="str">
        <f>"Game on " &amp; MATCH(MAX(I298:I307), I298:I307, 0) + ROW(I298) - 1 &amp; ". row"
</f>
        <v>Game on 298. row</v>
      </c>
      <c r="I296" s="5"/>
    </row>
    <row r="297">
      <c r="A297" s="1" t="s">
        <v>93</v>
      </c>
      <c r="B297" s="1" t="s">
        <v>4</v>
      </c>
      <c r="C297" s="1" t="s">
        <v>5</v>
      </c>
      <c r="D297" s="1" t="s">
        <v>6</v>
      </c>
      <c r="E297" s="1" t="s">
        <v>7</v>
      </c>
      <c r="F297" s="1" t="s">
        <v>8</v>
      </c>
      <c r="G297" s="26"/>
      <c r="H297" s="26"/>
      <c r="I297" s="30"/>
      <c r="J297" s="26"/>
    </row>
    <row r="298">
      <c r="A298" s="17">
        <v>1.0</v>
      </c>
      <c r="B298" s="27">
        <v>5.0</v>
      </c>
      <c r="C298" s="27">
        <v>1169.0</v>
      </c>
      <c r="D298" s="27">
        <v>4.0</v>
      </c>
      <c r="E298" s="27">
        <v>598.0</v>
      </c>
      <c r="F298" s="27">
        <v>3.0</v>
      </c>
      <c r="G298" s="5">
        <f t="shared" ref="G298:G307" si="107">(B298*0.5 + C298/100*0.2 + (51 - F298)/5*0.3)/10</f>
        <v>0.7718</v>
      </c>
      <c r="H298" s="5">
        <f t="shared" ref="H298:H307" si="108">(D298*0.5 + E298/100*0.2 + (51 - F298)/5*0.3)/10</f>
        <v>0.6076</v>
      </c>
      <c r="I298" s="19">
        <f t="shared" ref="I298:I308" si="109">AVERAGE(G298,H298)</f>
        <v>0.6897</v>
      </c>
      <c r="J298" s="1" t="s">
        <v>15</v>
      </c>
    </row>
    <row r="299">
      <c r="A299" s="17">
        <v>2.0</v>
      </c>
      <c r="B299" s="27">
        <v>1.0</v>
      </c>
      <c r="C299" s="27">
        <v>100.0</v>
      </c>
      <c r="D299" s="27">
        <v>0.0</v>
      </c>
      <c r="E299" s="27">
        <v>0.0</v>
      </c>
      <c r="F299" s="27">
        <v>49.0</v>
      </c>
      <c r="G299" s="5">
        <f t="shared" si="107"/>
        <v>0.082</v>
      </c>
      <c r="H299" s="5">
        <f t="shared" si="108"/>
        <v>0.012</v>
      </c>
      <c r="I299" s="19">
        <f t="shared" si="109"/>
        <v>0.047</v>
      </c>
      <c r="J299" s="6">
        <f>B308/10</f>
        <v>1</v>
      </c>
    </row>
    <row r="300">
      <c r="A300" s="17">
        <v>3.0</v>
      </c>
      <c r="B300" s="27">
        <v>0.0</v>
      </c>
      <c r="C300" s="27">
        <v>123.0</v>
      </c>
      <c r="D300" s="27">
        <v>0.0</v>
      </c>
      <c r="E300" s="27">
        <v>143.0</v>
      </c>
      <c r="F300" s="27">
        <v>36.0</v>
      </c>
      <c r="G300" s="5">
        <f t="shared" si="107"/>
        <v>0.1146</v>
      </c>
      <c r="H300" s="5">
        <f t="shared" si="108"/>
        <v>0.1186</v>
      </c>
      <c r="I300" s="19">
        <f t="shared" si="109"/>
        <v>0.1166</v>
      </c>
      <c r="J300" s="1" t="s">
        <v>19</v>
      </c>
    </row>
    <row r="301">
      <c r="A301" s="17">
        <v>4.0</v>
      </c>
      <c r="B301" s="27">
        <v>0.0</v>
      </c>
      <c r="C301" s="27">
        <v>155.0</v>
      </c>
      <c r="D301" s="27">
        <v>0.0</v>
      </c>
      <c r="E301" s="27">
        <v>0.0</v>
      </c>
      <c r="F301" s="27">
        <v>42.0</v>
      </c>
      <c r="G301" s="5">
        <f t="shared" si="107"/>
        <v>0.085</v>
      </c>
      <c r="H301" s="5">
        <f t="shared" si="108"/>
        <v>0.054</v>
      </c>
      <c r="I301" s="19">
        <f t="shared" si="109"/>
        <v>0.0695</v>
      </c>
      <c r="J301" s="6">
        <f>D308/10</f>
        <v>0.6</v>
      </c>
    </row>
    <row r="302">
      <c r="A302" s="17">
        <v>5.0</v>
      </c>
      <c r="B302" s="27">
        <v>4.0</v>
      </c>
      <c r="C302" s="27">
        <v>731.0</v>
      </c>
      <c r="D302" s="27">
        <v>2.0</v>
      </c>
      <c r="E302" s="27">
        <v>233.0</v>
      </c>
      <c r="F302" s="27">
        <v>5.0</v>
      </c>
      <c r="G302" s="5">
        <f t="shared" si="107"/>
        <v>0.6222</v>
      </c>
      <c r="H302" s="5">
        <f t="shared" si="108"/>
        <v>0.4226</v>
      </c>
      <c r="I302" s="19">
        <f t="shared" si="109"/>
        <v>0.5224</v>
      </c>
      <c r="J302" s="7" t="s">
        <v>23</v>
      </c>
    </row>
    <row r="303">
      <c r="A303" s="17">
        <v>6.0</v>
      </c>
      <c r="B303" s="27">
        <v>0.0</v>
      </c>
      <c r="C303" s="27">
        <v>119.0</v>
      </c>
      <c r="D303" s="27">
        <v>0.0</v>
      </c>
      <c r="E303" s="27">
        <v>64.0</v>
      </c>
      <c r="F303" s="27">
        <v>28.0</v>
      </c>
      <c r="G303" s="5">
        <f t="shared" si="107"/>
        <v>0.1618</v>
      </c>
      <c r="H303" s="5">
        <f t="shared" si="108"/>
        <v>0.1508</v>
      </c>
      <c r="I303" s="19">
        <f t="shared" si="109"/>
        <v>0.1563</v>
      </c>
      <c r="J303" s="8">
        <f>J299/J301</f>
        <v>1.666666667</v>
      </c>
    </row>
    <row r="304">
      <c r="A304" s="17">
        <v>7.0</v>
      </c>
      <c r="B304" s="27">
        <v>0.0</v>
      </c>
      <c r="C304" s="27">
        <v>0.0</v>
      </c>
      <c r="D304" s="27">
        <v>0.0</v>
      </c>
      <c r="E304" s="27">
        <v>0.0</v>
      </c>
      <c r="F304" s="27">
        <v>29.0</v>
      </c>
      <c r="G304" s="5">
        <f t="shared" si="107"/>
        <v>0.132</v>
      </c>
      <c r="H304" s="5">
        <f t="shared" si="108"/>
        <v>0.132</v>
      </c>
      <c r="I304" s="19">
        <f t="shared" si="109"/>
        <v>0.132</v>
      </c>
      <c r="J304" s="10" t="s">
        <v>27</v>
      </c>
    </row>
    <row r="305">
      <c r="A305" s="17">
        <v>8.0</v>
      </c>
      <c r="B305" s="27">
        <v>0.0</v>
      </c>
      <c r="C305" s="27">
        <v>56.0</v>
      </c>
      <c r="D305" s="27">
        <v>0.0</v>
      </c>
      <c r="E305" s="27">
        <v>100.0</v>
      </c>
      <c r="F305" s="27">
        <v>37.0</v>
      </c>
      <c r="G305" s="5">
        <f t="shared" si="107"/>
        <v>0.0952</v>
      </c>
      <c r="H305" s="5">
        <f t="shared" si="108"/>
        <v>0.104</v>
      </c>
      <c r="I305" s="19">
        <f t="shared" si="109"/>
        <v>0.0996</v>
      </c>
      <c r="J305" s="13">
        <f>J301/J299</f>
        <v>0.6</v>
      </c>
    </row>
    <row r="306">
      <c r="A306" s="17">
        <v>9.0</v>
      </c>
      <c r="B306" s="27">
        <v>0.0</v>
      </c>
      <c r="C306" s="27">
        <v>25.0</v>
      </c>
      <c r="D306" s="27">
        <v>0.0</v>
      </c>
      <c r="E306" s="27">
        <v>25.0</v>
      </c>
      <c r="F306" s="27">
        <v>38.0</v>
      </c>
      <c r="G306" s="5">
        <f t="shared" si="107"/>
        <v>0.083</v>
      </c>
      <c r="H306" s="5">
        <f t="shared" si="108"/>
        <v>0.083</v>
      </c>
      <c r="I306" s="19">
        <f t="shared" si="109"/>
        <v>0.083</v>
      </c>
      <c r="J306" s="32"/>
    </row>
    <row r="307">
      <c r="A307" s="17">
        <v>10.0</v>
      </c>
      <c r="B307" s="27">
        <v>0.0</v>
      </c>
      <c r="C307" s="27">
        <v>66.0</v>
      </c>
      <c r="D307" s="27">
        <v>0.0</v>
      </c>
      <c r="E307" s="27">
        <v>0.0</v>
      </c>
      <c r="F307" s="27">
        <v>47.0</v>
      </c>
      <c r="G307" s="5">
        <f t="shared" si="107"/>
        <v>0.0372</v>
      </c>
      <c r="H307" s="5">
        <f t="shared" si="108"/>
        <v>0.024</v>
      </c>
      <c r="I307" s="19">
        <f t="shared" si="109"/>
        <v>0.0306</v>
      </c>
      <c r="J307" s="32"/>
    </row>
    <row r="308">
      <c r="A308" s="27" t="s">
        <v>33</v>
      </c>
      <c r="B308" s="28">
        <f>SUM(B298:B307)</f>
        <v>10</v>
      </c>
      <c r="C308" s="29">
        <f>AVERAGE(C298:C307)</f>
        <v>254.4</v>
      </c>
      <c r="D308" s="29">
        <f>SUM(D298:D307)</f>
        <v>6</v>
      </c>
      <c r="E308" s="29">
        <f t="shared" ref="E308:F308" si="110">AVERAGE(E298:E307)</f>
        <v>116.3</v>
      </c>
      <c r="F308" s="29">
        <f t="shared" si="110"/>
        <v>31.4</v>
      </c>
      <c r="G308" s="5">
        <f t="shared" ref="G308:H308" si="111">Average(G298:G307)</f>
        <v>0.21848</v>
      </c>
      <c r="H308" s="5">
        <f t="shared" si="111"/>
        <v>0.17086</v>
      </c>
      <c r="I308" s="19">
        <f t="shared" si="109"/>
        <v>0.19467</v>
      </c>
      <c r="J308" s="32"/>
    </row>
    <row r="310">
      <c r="B310" s="1" t="s">
        <v>0</v>
      </c>
      <c r="C310" s="1" t="s">
        <v>94</v>
      </c>
      <c r="D310" s="1" t="s">
        <v>2</v>
      </c>
      <c r="E310" s="1" t="str">
        <f>"Game on " &amp; MATCH(MAX(I312:I321), I312:I321, 0) + ROW(I312) - 1 &amp; ". row"
</f>
        <v>Game on 312. row</v>
      </c>
      <c r="I310" s="5"/>
    </row>
    <row r="311">
      <c r="A311" s="1" t="s">
        <v>95</v>
      </c>
      <c r="B311" s="1" t="s">
        <v>4</v>
      </c>
      <c r="C311" s="1" t="s">
        <v>5</v>
      </c>
      <c r="D311" s="1" t="s">
        <v>6</v>
      </c>
      <c r="E311" s="1" t="s">
        <v>7</v>
      </c>
      <c r="F311" s="1" t="s">
        <v>8</v>
      </c>
      <c r="G311" s="26"/>
      <c r="H311" s="26"/>
      <c r="I311" s="30"/>
      <c r="J311" s="26"/>
    </row>
    <row r="312">
      <c r="A312" s="17">
        <v>1.0</v>
      </c>
      <c r="B312" s="27">
        <v>5.0</v>
      </c>
      <c r="C312" s="34">
        <v>577.0</v>
      </c>
      <c r="D312" s="27">
        <v>2.0</v>
      </c>
      <c r="E312" s="27">
        <v>207.0</v>
      </c>
      <c r="F312" s="27">
        <v>6.0</v>
      </c>
      <c r="G312" s="5">
        <f t="shared" ref="G312:G321" si="112">(B312*0.5 + C312/100*0.2 + (51 - F312)/5*0.3)/10</f>
        <v>0.6354</v>
      </c>
      <c r="H312" s="5">
        <f t="shared" ref="H312:H321" si="113">(D312*0.5 + E312/100*0.2 + (51 - F312)/5*0.3)/10</f>
        <v>0.4114</v>
      </c>
      <c r="I312" s="19">
        <f t="shared" ref="I312:I322" si="114">AVERAGE(G312,H312)</f>
        <v>0.5234</v>
      </c>
      <c r="J312" s="1" t="s">
        <v>15</v>
      </c>
    </row>
    <row r="313">
      <c r="A313" s="17">
        <v>2.0</v>
      </c>
      <c r="B313" s="27">
        <v>3.0</v>
      </c>
      <c r="C313" s="35">
        <v>333.0</v>
      </c>
      <c r="D313" s="27">
        <v>0.0</v>
      </c>
      <c r="E313" s="27">
        <v>0.0</v>
      </c>
      <c r="F313" s="27">
        <v>18.0</v>
      </c>
      <c r="G313" s="5">
        <f t="shared" si="112"/>
        <v>0.4146</v>
      </c>
      <c r="H313" s="5">
        <f t="shared" si="113"/>
        <v>0.198</v>
      </c>
      <c r="I313" s="19">
        <f t="shared" si="114"/>
        <v>0.3063</v>
      </c>
      <c r="J313" s="6">
        <f>B322/10</f>
        <v>1.7</v>
      </c>
    </row>
    <row r="314">
      <c r="A314" s="17">
        <v>3.0</v>
      </c>
      <c r="B314" s="27">
        <v>3.0</v>
      </c>
      <c r="C314" s="36">
        <v>346.0</v>
      </c>
      <c r="D314" s="27">
        <v>0.0</v>
      </c>
      <c r="E314" s="27">
        <v>177.0</v>
      </c>
      <c r="F314" s="27">
        <v>4.0</v>
      </c>
      <c r="G314" s="5">
        <f t="shared" si="112"/>
        <v>0.5012</v>
      </c>
      <c r="H314" s="5">
        <f t="shared" si="113"/>
        <v>0.3174</v>
      </c>
      <c r="I314" s="19">
        <f t="shared" si="114"/>
        <v>0.4093</v>
      </c>
      <c r="J314" s="1" t="s">
        <v>19</v>
      </c>
    </row>
    <row r="315">
      <c r="A315" s="17">
        <v>4.0</v>
      </c>
      <c r="B315" s="27">
        <v>2.0</v>
      </c>
      <c r="C315" s="37">
        <v>178.0</v>
      </c>
      <c r="D315" s="27">
        <v>0.0</v>
      </c>
      <c r="E315" s="27">
        <v>62.0</v>
      </c>
      <c r="F315" s="27">
        <v>28.0</v>
      </c>
      <c r="G315" s="5">
        <f t="shared" si="112"/>
        <v>0.2736</v>
      </c>
      <c r="H315" s="5">
        <f t="shared" si="113"/>
        <v>0.1504</v>
      </c>
      <c r="I315" s="19">
        <f t="shared" si="114"/>
        <v>0.212</v>
      </c>
      <c r="J315" s="6">
        <f>D322/10</f>
        <v>0.2</v>
      </c>
    </row>
    <row r="316">
      <c r="A316" s="17">
        <v>5.0</v>
      </c>
      <c r="B316" s="27">
        <v>0.0</v>
      </c>
      <c r="C316" s="38">
        <v>100.0</v>
      </c>
      <c r="D316" s="27">
        <v>0.0</v>
      </c>
      <c r="E316" s="27">
        <v>10.0</v>
      </c>
      <c r="F316" s="27">
        <v>48.0</v>
      </c>
      <c r="G316" s="5">
        <f t="shared" si="112"/>
        <v>0.038</v>
      </c>
      <c r="H316" s="5">
        <f t="shared" si="113"/>
        <v>0.02</v>
      </c>
      <c r="I316" s="19">
        <f t="shared" si="114"/>
        <v>0.029</v>
      </c>
      <c r="J316" s="7" t="s">
        <v>23</v>
      </c>
    </row>
    <row r="317">
      <c r="A317" s="17">
        <v>6.0</v>
      </c>
      <c r="B317" s="27">
        <v>0.0</v>
      </c>
      <c r="C317" s="39">
        <v>157.0</v>
      </c>
      <c r="D317" s="27">
        <v>0.0</v>
      </c>
      <c r="E317" s="27">
        <v>19.0</v>
      </c>
      <c r="F317" s="27">
        <v>37.0</v>
      </c>
      <c r="G317" s="5">
        <f t="shared" si="112"/>
        <v>0.1154</v>
      </c>
      <c r="H317" s="5">
        <f t="shared" si="113"/>
        <v>0.0878</v>
      </c>
      <c r="I317" s="19">
        <f t="shared" si="114"/>
        <v>0.1016</v>
      </c>
      <c r="J317" s="8">
        <f>J313/J315</f>
        <v>8.5</v>
      </c>
    </row>
    <row r="318">
      <c r="A318" s="17">
        <v>7.0</v>
      </c>
      <c r="B318" s="27">
        <v>0.0</v>
      </c>
      <c r="C318" s="40">
        <v>78.0</v>
      </c>
      <c r="D318" s="27">
        <v>0.0</v>
      </c>
      <c r="E318" s="27">
        <v>100.0</v>
      </c>
      <c r="F318" s="27">
        <v>40.0</v>
      </c>
      <c r="G318" s="5">
        <f t="shared" si="112"/>
        <v>0.0816</v>
      </c>
      <c r="H318" s="5">
        <f t="shared" si="113"/>
        <v>0.086</v>
      </c>
      <c r="I318" s="19">
        <f t="shared" si="114"/>
        <v>0.0838</v>
      </c>
      <c r="J318" s="10" t="s">
        <v>27</v>
      </c>
    </row>
    <row r="319">
      <c r="A319" s="17">
        <v>8.0</v>
      </c>
      <c r="B319" s="27">
        <v>2.0</v>
      </c>
      <c r="C319" s="41">
        <v>503.0</v>
      </c>
      <c r="D319" s="27">
        <v>0.0</v>
      </c>
      <c r="E319" s="27">
        <v>64.0</v>
      </c>
      <c r="F319" s="27">
        <v>2.0</v>
      </c>
      <c r="G319" s="5">
        <f t="shared" si="112"/>
        <v>0.4946</v>
      </c>
      <c r="H319" s="5">
        <f t="shared" si="113"/>
        <v>0.3068</v>
      </c>
      <c r="I319" s="19">
        <f t="shared" si="114"/>
        <v>0.4007</v>
      </c>
      <c r="J319" s="13">
        <f>J315/J313</f>
        <v>0.1176470588</v>
      </c>
    </row>
    <row r="320">
      <c r="A320" s="17">
        <v>9.0</v>
      </c>
      <c r="B320" s="27">
        <v>1.0</v>
      </c>
      <c r="C320" s="38">
        <v>100.0</v>
      </c>
      <c r="D320" s="27">
        <v>0.0</v>
      </c>
      <c r="E320" s="27">
        <v>0.0</v>
      </c>
      <c r="F320" s="27">
        <v>28.0</v>
      </c>
      <c r="G320" s="5">
        <f t="shared" si="112"/>
        <v>0.208</v>
      </c>
      <c r="H320" s="5">
        <f t="shared" si="113"/>
        <v>0.138</v>
      </c>
      <c r="I320" s="19">
        <f t="shared" si="114"/>
        <v>0.173</v>
      </c>
      <c r="J320" s="32"/>
    </row>
    <row r="321">
      <c r="A321" s="17">
        <v>10.0</v>
      </c>
      <c r="B321" s="27">
        <v>1.0</v>
      </c>
      <c r="C321" s="42">
        <v>69.0</v>
      </c>
      <c r="D321" s="27">
        <v>0.0</v>
      </c>
      <c r="E321" s="27">
        <v>0.0</v>
      </c>
      <c r="F321" s="27">
        <v>8.0</v>
      </c>
      <c r="G321" s="5">
        <f t="shared" si="112"/>
        <v>0.3218</v>
      </c>
      <c r="H321" s="5">
        <f t="shared" si="113"/>
        <v>0.258</v>
      </c>
      <c r="I321" s="19">
        <f t="shared" si="114"/>
        <v>0.2899</v>
      </c>
      <c r="J321" s="32"/>
    </row>
    <row r="322">
      <c r="A322" s="27" t="s">
        <v>33</v>
      </c>
      <c r="B322" s="28">
        <f>SUM(B312:B321)</f>
        <v>17</v>
      </c>
      <c r="C322" s="29">
        <f>AVERAGE(C312:C321)</f>
        <v>244.1</v>
      </c>
      <c r="D322" s="29">
        <f>SUM(D312:D321)</f>
        <v>2</v>
      </c>
      <c r="E322" s="29">
        <f t="shared" ref="E322:F322" si="115">AVERAGE(E312:E321)</f>
        <v>63.9</v>
      </c>
      <c r="F322" s="29">
        <f t="shared" si="115"/>
        <v>21.9</v>
      </c>
      <c r="G322" s="5">
        <f t="shared" ref="G322:H322" si="116">Average(G312:G321)</f>
        <v>0.30842</v>
      </c>
      <c r="H322" s="5">
        <f t="shared" si="116"/>
        <v>0.19738</v>
      </c>
      <c r="I322" s="19">
        <f t="shared" si="114"/>
        <v>0.2529</v>
      </c>
      <c r="J322" s="32"/>
    </row>
    <row r="324">
      <c r="A324" s="43"/>
      <c r="B324" s="43" t="s">
        <v>0</v>
      </c>
      <c r="C324" s="44" t="s">
        <v>96</v>
      </c>
      <c r="D324" s="43" t="s">
        <v>2</v>
      </c>
      <c r="E324" s="43" t="str">
        <f>"Game on " &amp; MATCH(MAX(I326:I335), I326:I335, 0) + ROW(I326) - 1 &amp; ". row"
</f>
        <v>Game on 332. row</v>
      </c>
      <c r="F324" s="43"/>
      <c r="G324" s="43"/>
      <c r="H324" s="43"/>
      <c r="I324" s="45"/>
    </row>
    <row r="325">
      <c r="A325" s="44" t="s">
        <v>97</v>
      </c>
      <c r="B325" s="46" t="s">
        <v>4</v>
      </c>
      <c r="C325" s="46" t="s">
        <v>5</v>
      </c>
      <c r="D325" s="46" t="s">
        <v>6</v>
      </c>
      <c r="E325" s="46" t="s">
        <v>7</v>
      </c>
      <c r="F325" s="46" t="s">
        <v>8</v>
      </c>
      <c r="G325" s="46"/>
      <c r="H325" s="46"/>
      <c r="I325" s="47"/>
      <c r="J325" s="46"/>
    </row>
    <row r="326">
      <c r="A326" s="48">
        <v>1.0</v>
      </c>
      <c r="B326" s="49">
        <v>0.0</v>
      </c>
      <c r="C326" s="34">
        <v>268.0</v>
      </c>
      <c r="D326" s="27">
        <v>0.0</v>
      </c>
      <c r="E326" s="27">
        <v>44.0</v>
      </c>
      <c r="F326" s="50">
        <v>8.0</v>
      </c>
      <c r="G326" s="51">
        <f t="shared" ref="G326:G335" si="117">(B326*0.5 + C326/100*0.2 + (51 - F326)/5*0.3)/10</f>
        <v>0.3116</v>
      </c>
      <c r="H326" s="52">
        <f t="shared" ref="H326:H335" si="118">(D326*0.5 + E326/100*0.2 + (51 - F326)/5*0.3)/10</f>
        <v>0.2668</v>
      </c>
      <c r="I326" s="53">
        <f t="shared" ref="I326:I336" si="119">AVERAGE(G326,H326)</f>
        <v>0.2892</v>
      </c>
      <c r="J326" s="1" t="s">
        <v>15</v>
      </c>
    </row>
    <row r="327">
      <c r="A327" s="48">
        <v>2.0</v>
      </c>
      <c r="B327" s="54">
        <v>4.0</v>
      </c>
      <c r="C327" s="35">
        <v>508.0</v>
      </c>
      <c r="D327" s="27">
        <v>0.0</v>
      </c>
      <c r="E327" s="27">
        <v>45.0</v>
      </c>
      <c r="F327" s="55">
        <v>6.0</v>
      </c>
      <c r="G327" s="56">
        <f t="shared" si="117"/>
        <v>0.5716</v>
      </c>
      <c r="H327" s="57">
        <f t="shared" si="118"/>
        <v>0.279</v>
      </c>
      <c r="I327" s="58">
        <f t="shared" si="119"/>
        <v>0.4253</v>
      </c>
      <c r="J327" s="6">
        <f>B336/10</f>
        <v>1.4</v>
      </c>
    </row>
    <row r="328">
      <c r="A328" s="48">
        <v>3.0</v>
      </c>
      <c r="B328" s="54">
        <v>4.0</v>
      </c>
      <c r="C328" s="36">
        <v>391.0</v>
      </c>
      <c r="D328" s="27">
        <v>1.0</v>
      </c>
      <c r="E328" s="27">
        <v>213.0</v>
      </c>
      <c r="F328" s="59">
        <v>10.0</v>
      </c>
      <c r="G328" s="60">
        <f t="shared" si="117"/>
        <v>0.5242</v>
      </c>
      <c r="H328" s="61">
        <f t="shared" si="118"/>
        <v>0.3386</v>
      </c>
      <c r="I328" s="62">
        <f t="shared" si="119"/>
        <v>0.4314</v>
      </c>
      <c r="J328" s="1" t="s">
        <v>19</v>
      </c>
    </row>
    <row r="329">
      <c r="A329" s="48">
        <v>4.0</v>
      </c>
      <c r="B329" s="63">
        <v>0.0</v>
      </c>
      <c r="C329" s="37">
        <v>41.0</v>
      </c>
      <c r="D329" s="27">
        <v>0.0</v>
      </c>
      <c r="E329" s="27">
        <v>111.0</v>
      </c>
      <c r="F329" s="64">
        <v>22.0</v>
      </c>
      <c r="G329" s="65">
        <f t="shared" si="117"/>
        <v>0.1822</v>
      </c>
      <c r="H329" s="66">
        <f t="shared" si="118"/>
        <v>0.1962</v>
      </c>
      <c r="I329" s="67">
        <f t="shared" si="119"/>
        <v>0.1892</v>
      </c>
      <c r="J329" s="6">
        <f>D336/10</f>
        <v>0.4</v>
      </c>
    </row>
    <row r="330">
      <c r="A330" s="48">
        <v>5.0</v>
      </c>
      <c r="B330" s="68">
        <v>2.0</v>
      </c>
      <c r="C330" s="38">
        <v>36.0</v>
      </c>
      <c r="D330" s="27">
        <v>0.0</v>
      </c>
      <c r="E330" s="27">
        <v>74.0</v>
      </c>
      <c r="F330" s="69">
        <v>30.0</v>
      </c>
      <c r="G330" s="70">
        <f t="shared" si="117"/>
        <v>0.2332</v>
      </c>
      <c r="H330" s="71">
        <f t="shared" si="118"/>
        <v>0.1408</v>
      </c>
      <c r="I330" s="72">
        <f t="shared" si="119"/>
        <v>0.187</v>
      </c>
      <c r="J330" s="7" t="s">
        <v>23</v>
      </c>
    </row>
    <row r="331">
      <c r="A331" s="48">
        <v>6.0</v>
      </c>
      <c r="B331" s="68">
        <v>0.0</v>
      </c>
      <c r="C331" s="39">
        <v>0.0</v>
      </c>
      <c r="D331" s="27">
        <v>0.0</v>
      </c>
      <c r="E331" s="27">
        <v>91.0</v>
      </c>
      <c r="F331" s="73">
        <v>42.0</v>
      </c>
      <c r="G331" s="74">
        <f t="shared" si="117"/>
        <v>0.054</v>
      </c>
      <c r="H331" s="75">
        <f t="shared" si="118"/>
        <v>0.0722</v>
      </c>
      <c r="I331" s="8">
        <f t="shared" si="119"/>
        <v>0.0631</v>
      </c>
      <c r="J331" s="8">
        <f>J327/J329</f>
        <v>3.5</v>
      </c>
    </row>
    <row r="332">
      <c r="A332" s="48">
        <v>7.0</v>
      </c>
      <c r="B332" s="68">
        <v>2.0</v>
      </c>
      <c r="C332" s="40">
        <v>685.0</v>
      </c>
      <c r="D332" s="27">
        <v>1.0</v>
      </c>
      <c r="E332" s="27">
        <v>174.0</v>
      </c>
      <c r="F332" s="76">
        <v>4.0</v>
      </c>
      <c r="G332" s="77">
        <f t="shared" si="117"/>
        <v>0.519</v>
      </c>
      <c r="H332" s="75">
        <f t="shared" si="118"/>
        <v>0.3668</v>
      </c>
      <c r="I332" s="78">
        <f t="shared" si="119"/>
        <v>0.4429</v>
      </c>
      <c r="J332" s="10" t="s">
        <v>27</v>
      </c>
    </row>
    <row r="333">
      <c r="A333" s="48">
        <v>8.0</v>
      </c>
      <c r="B333" s="63">
        <v>0.0</v>
      </c>
      <c r="C333" s="41">
        <v>60.0</v>
      </c>
      <c r="D333" s="27">
        <v>1.0</v>
      </c>
      <c r="E333" s="27">
        <v>83.0</v>
      </c>
      <c r="F333" s="79">
        <v>36.0</v>
      </c>
      <c r="G333" s="80">
        <f t="shared" si="117"/>
        <v>0.102</v>
      </c>
      <c r="H333" s="81">
        <f t="shared" si="118"/>
        <v>0.1566</v>
      </c>
      <c r="I333" s="13">
        <f t="shared" si="119"/>
        <v>0.1293</v>
      </c>
      <c r="J333" s="13">
        <f>J329/J327</f>
        <v>0.2857142857</v>
      </c>
    </row>
    <row r="334">
      <c r="A334" s="48">
        <v>9.0</v>
      </c>
      <c r="B334" s="82">
        <v>2.0</v>
      </c>
      <c r="C334" s="38">
        <v>295.0</v>
      </c>
      <c r="D334" s="27">
        <v>1.0</v>
      </c>
      <c r="E334" s="27">
        <v>278.0</v>
      </c>
      <c r="F334" s="64">
        <v>3.0</v>
      </c>
      <c r="G334" s="83">
        <f t="shared" si="117"/>
        <v>0.447</v>
      </c>
      <c r="H334" s="84">
        <f t="shared" si="118"/>
        <v>0.3936</v>
      </c>
      <c r="I334" s="85">
        <f t="shared" si="119"/>
        <v>0.4203</v>
      </c>
      <c r="J334" s="86"/>
    </row>
    <row r="335">
      <c r="A335" s="48">
        <v>10.0</v>
      </c>
      <c r="B335" s="82">
        <v>0.0</v>
      </c>
      <c r="C335" s="42">
        <v>18.0</v>
      </c>
      <c r="D335" s="27">
        <v>0.0</v>
      </c>
      <c r="E335" s="27">
        <v>38.0</v>
      </c>
      <c r="F335" s="87">
        <v>42.0</v>
      </c>
      <c r="G335" s="88">
        <f t="shared" si="117"/>
        <v>0.0576</v>
      </c>
      <c r="H335" s="89">
        <f t="shared" si="118"/>
        <v>0.0616</v>
      </c>
      <c r="I335" s="90">
        <f t="shared" si="119"/>
        <v>0.0596</v>
      </c>
      <c r="J335" s="91"/>
    </row>
    <row r="336">
      <c r="A336" s="43" t="s">
        <v>33</v>
      </c>
      <c r="B336" s="92">
        <f>SUM(B326:B335)</f>
        <v>14</v>
      </c>
      <c r="C336" s="93">
        <f>AVERAGE(C326:C335)</f>
        <v>230.2</v>
      </c>
      <c r="D336" s="93">
        <f>SUM(D326:D335)</f>
        <v>4</v>
      </c>
      <c r="E336" s="93">
        <f t="shared" ref="E336:F336" si="120">AVERAGE(E326:E335)</f>
        <v>115.1</v>
      </c>
      <c r="F336" s="94">
        <f t="shared" si="120"/>
        <v>20.3</v>
      </c>
      <c r="G336" s="95">
        <f t="shared" ref="G336:H336" si="121">Average(G326:G335)</f>
        <v>0.30024</v>
      </c>
      <c r="H336" s="96">
        <f t="shared" si="121"/>
        <v>0.22722</v>
      </c>
      <c r="I336" s="97">
        <f t="shared" si="119"/>
        <v>0.26373</v>
      </c>
      <c r="J336" s="98"/>
    </row>
    <row r="338">
      <c r="A338" s="43"/>
      <c r="B338" s="43" t="s">
        <v>0</v>
      </c>
      <c r="C338" s="44" t="s">
        <v>98</v>
      </c>
      <c r="D338" s="43" t="s">
        <v>2</v>
      </c>
      <c r="E338" s="43" t="str">
        <f>"Game on " &amp; MATCH(MAX(I340:I349), I340:I349, 0) + ROW(I340) - 1 &amp; ". row"
</f>
        <v>Game on 349. row</v>
      </c>
      <c r="F338" s="43"/>
      <c r="G338" s="43"/>
      <c r="H338" s="43"/>
      <c r="I338" s="45"/>
    </row>
    <row r="339">
      <c r="A339" s="44" t="s">
        <v>99</v>
      </c>
      <c r="B339" s="46" t="s">
        <v>4</v>
      </c>
      <c r="C339" s="46" t="s">
        <v>5</v>
      </c>
      <c r="D339" s="46" t="s">
        <v>6</v>
      </c>
      <c r="E339" s="46" t="s">
        <v>7</v>
      </c>
      <c r="F339" s="46" t="s">
        <v>8</v>
      </c>
      <c r="G339" s="46"/>
      <c r="H339" s="46"/>
      <c r="I339" s="47"/>
      <c r="J339" s="46"/>
    </row>
    <row r="340">
      <c r="A340" s="48">
        <v>1.0</v>
      </c>
      <c r="B340" s="49">
        <v>2.0</v>
      </c>
      <c r="C340" s="34">
        <v>333.0</v>
      </c>
      <c r="D340" s="27">
        <v>0.0</v>
      </c>
      <c r="E340" s="27">
        <v>177.0</v>
      </c>
      <c r="F340" s="50">
        <v>25.0</v>
      </c>
      <c r="G340" s="51">
        <f t="shared" ref="G340:G349" si="122">(B340*0.5 + C340/100*0.2 + (51 - F340)/5*0.3)/10</f>
        <v>0.3226</v>
      </c>
      <c r="H340" s="52">
        <f t="shared" ref="H340:H349" si="123">(D340*0.5 + E340/100*0.2 + (51 - F340)/5*0.3)/10</f>
        <v>0.1914</v>
      </c>
      <c r="I340" s="53">
        <f t="shared" ref="I340:I350" si="124">AVERAGE(G340,H340)</f>
        <v>0.257</v>
      </c>
      <c r="J340" s="1" t="s">
        <v>15</v>
      </c>
    </row>
    <row r="341">
      <c r="A341" s="48">
        <v>2.0</v>
      </c>
      <c r="B341" s="54">
        <v>0.0</v>
      </c>
      <c r="C341" s="35">
        <v>45.0</v>
      </c>
      <c r="D341" s="27">
        <v>0.0</v>
      </c>
      <c r="E341" s="27">
        <v>80.0</v>
      </c>
      <c r="F341" s="55">
        <v>19.0</v>
      </c>
      <c r="G341" s="56">
        <f t="shared" si="122"/>
        <v>0.201</v>
      </c>
      <c r="H341" s="57">
        <f t="shared" si="123"/>
        <v>0.208</v>
      </c>
      <c r="I341" s="58">
        <f t="shared" si="124"/>
        <v>0.2045</v>
      </c>
      <c r="J341" s="6">
        <f>B350/10</f>
        <v>1</v>
      </c>
    </row>
    <row r="342">
      <c r="A342" s="48">
        <v>3.0</v>
      </c>
      <c r="B342" s="54">
        <v>0.0</v>
      </c>
      <c r="C342" s="36">
        <v>45.0</v>
      </c>
      <c r="D342" s="27">
        <v>0.0</v>
      </c>
      <c r="E342" s="27">
        <v>165.0</v>
      </c>
      <c r="F342" s="59">
        <v>33.0</v>
      </c>
      <c r="G342" s="60">
        <f t="shared" si="122"/>
        <v>0.117</v>
      </c>
      <c r="H342" s="61">
        <f t="shared" si="123"/>
        <v>0.141</v>
      </c>
      <c r="I342" s="62">
        <f t="shared" si="124"/>
        <v>0.129</v>
      </c>
      <c r="J342" s="1" t="s">
        <v>19</v>
      </c>
    </row>
    <row r="343">
      <c r="A343" s="48">
        <v>4.0</v>
      </c>
      <c r="B343" s="63">
        <v>2.0</v>
      </c>
      <c r="C343" s="37">
        <v>301.0</v>
      </c>
      <c r="D343" s="27">
        <v>2.0</v>
      </c>
      <c r="E343" s="27">
        <v>189.0</v>
      </c>
      <c r="F343" s="64">
        <v>14.0</v>
      </c>
      <c r="G343" s="65">
        <f t="shared" si="122"/>
        <v>0.3822</v>
      </c>
      <c r="H343" s="66">
        <f t="shared" si="123"/>
        <v>0.3598</v>
      </c>
      <c r="I343" s="67">
        <f t="shared" si="124"/>
        <v>0.371</v>
      </c>
      <c r="J343" s="6">
        <f>D350/10</f>
        <v>0.5</v>
      </c>
    </row>
    <row r="344">
      <c r="A344" s="48">
        <v>5.0</v>
      </c>
      <c r="B344" s="68">
        <v>0.0</v>
      </c>
      <c r="C344" s="38">
        <v>64.0</v>
      </c>
      <c r="D344" s="27">
        <v>0.0</v>
      </c>
      <c r="E344" s="27">
        <v>56.0</v>
      </c>
      <c r="F344" s="69">
        <v>23.0</v>
      </c>
      <c r="G344" s="70">
        <f t="shared" si="122"/>
        <v>0.1808</v>
      </c>
      <c r="H344" s="71">
        <f t="shared" si="123"/>
        <v>0.1792</v>
      </c>
      <c r="I344" s="72">
        <f t="shared" si="124"/>
        <v>0.18</v>
      </c>
      <c r="J344" s="7" t="s">
        <v>23</v>
      </c>
    </row>
    <row r="345">
      <c r="A345" s="48">
        <v>6.0</v>
      </c>
      <c r="B345" s="68">
        <v>1.0</v>
      </c>
      <c r="C345" s="39">
        <v>473.0</v>
      </c>
      <c r="D345" s="27">
        <v>0.0</v>
      </c>
      <c r="E345" s="27">
        <v>47.0</v>
      </c>
      <c r="F345" s="73">
        <v>6.0</v>
      </c>
      <c r="G345" s="74">
        <f t="shared" si="122"/>
        <v>0.4146</v>
      </c>
      <c r="H345" s="75">
        <f t="shared" si="123"/>
        <v>0.2794</v>
      </c>
      <c r="I345" s="8">
        <f t="shared" si="124"/>
        <v>0.347</v>
      </c>
      <c r="J345" s="8">
        <f>J341/J343</f>
        <v>2</v>
      </c>
    </row>
    <row r="346">
      <c r="A346" s="48">
        <v>7.0</v>
      </c>
      <c r="B346" s="68">
        <v>0.0</v>
      </c>
      <c r="C346" s="40">
        <v>83.0</v>
      </c>
      <c r="D346" s="27">
        <v>0.0</v>
      </c>
      <c r="E346" s="27">
        <v>59.0</v>
      </c>
      <c r="F346" s="76">
        <v>23.0</v>
      </c>
      <c r="G346" s="77">
        <f t="shared" si="122"/>
        <v>0.1846</v>
      </c>
      <c r="H346" s="75">
        <f t="shared" si="123"/>
        <v>0.1798</v>
      </c>
      <c r="I346" s="78">
        <f t="shared" si="124"/>
        <v>0.1822</v>
      </c>
      <c r="J346" s="10" t="s">
        <v>27</v>
      </c>
    </row>
    <row r="347">
      <c r="A347" s="48">
        <v>8.0</v>
      </c>
      <c r="B347" s="63">
        <v>0.0</v>
      </c>
      <c r="C347" s="41">
        <v>0.0</v>
      </c>
      <c r="D347" s="27">
        <v>0.0</v>
      </c>
      <c r="E347" s="27">
        <v>82.0</v>
      </c>
      <c r="F347" s="79">
        <v>37.0</v>
      </c>
      <c r="G347" s="80">
        <f t="shared" si="122"/>
        <v>0.084</v>
      </c>
      <c r="H347" s="81">
        <f t="shared" si="123"/>
        <v>0.1004</v>
      </c>
      <c r="I347" s="13">
        <f t="shared" si="124"/>
        <v>0.0922</v>
      </c>
      <c r="J347" s="13">
        <f>J343/J341</f>
        <v>0.5</v>
      </c>
    </row>
    <row r="348">
      <c r="A348" s="48">
        <v>9.0</v>
      </c>
      <c r="B348" s="82">
        <v>0.0</v>
      </c>
      <c r="C348" s="38">
        <v>192.0</v>
      </c>
      <c r="D348" s="27">
        <v>0.0</v>
      </c>
      <c r="E348" s="27">
        <v>49.0</v>
      </c>
      <c r="F348" s="64">
        <v>35.0</v>
      </c>
      <c r="G348" s="83">
        <f t="shared" si="122"/>
        <v>0.1344</v>
      </c>
      <c r="H348" s="84">
        <f t="shared" si="123"/>
        <v>0.1058</v>
      </c>
      <c r="I348" s="85">
        <f t="shared" si="124"/>
        <v>0.1201</v>
      </c>
      <c r="J348" s="86"/>
    </row>
    <row r="349">
      <c r="A349" s="48">
        <v>10.0</v>
      </c>
      <c r="B349" s="82">
        <v>5.0</v>
      </c>
      <c r="C349" s="42">
        <v>539.0</v>
      </c>
      <c r="D349" s="27">
        <v>3.0</v>
      </c>
      <c r="E349" s="27">
        <v>384.0</v>
      </c>
      <c r="F349" s="87">
        <v>4.0</v>
      </c>
      <c r="G349" s="88">
        <f t="shared" si="122"/>
        <v>0.6398</v>
      </c>
      <c r="H349" s="89">
        <f t="shared" si="123"/>
        <v>0.5088</v>
      </c>
      <c r="I349" s="90">
        <f t="shared" si="124"/>
        <v>0.5743</v>
      </c>
      <c r="J349" s="91"/>
    </row>
    <row r="350">
      <c r="A350" s="43" t="s">
        <v>33</v>
      </c>
      <c r="B350" s="92">
        <f>SUM(B340:B349)</f>
        <v>10</v>
      </c>
      <c r="C350" s="93">
        <f>AVERAGE(C340:C349)</f>
        <v>207.5</v>
      </c>
      <c r="D350" s="93">
        <f>SUM(D340:D349)</f>
        <v>5</v>
      </c>
      <c r="E350" s="93">
        <f t="shared" ref="E350:F350" si="125">AVERAGE(E340:E349)</f>
        <v>128.8</v>
      </c>
      <c r="F350" s="94">
        <f t="shared" si="125"/>
        <v>21.9</v>
      </c>
      <c r="G350" s="95">
        <f t="shared" ref="G350:H350" si="126">Average(G340:G349)</f>
        <v>0.2661</v>
      </c>
      <c r="H350" s="96">
        <f t="shared" si="126"/>
        <v>0.22536</v>
      </c>
      <c r="I350" s="97">
        <f t="shared" si="124"/>
        <v>0.24573</v>
      </c>
      <c r="J350" s="98"/>
    </row>
    <row r="352">
      <c r="A352" s="43"/>
      <c r="B352" s="43" t="s">
        <v>0</v>
      </c>
      <c r="C352" s="44" t="s">
        <v>100</v>
      </c>
      <c r="D352" s="43" t="s">
        <v>2</v>
      </c>
      <c r="E352" s="43" t="str">
        <f>"Game on " &amp; MATCH(MAX(I354:I363), I354:I363, 0) + ROW(I354) - 1 &amp; ". row"
</f>
        <v>Game on 359. row</v>
      </c>
      <c r="F352" s="43"/>
      <c r="G352" s="43"/>
      <c r="H352" s="43"/>
      <c r="I352" s="45"/>
    </row>
    <row r="353">
      <c r="A353" s="44" t="s">
        <v>101</v>
      </c>
      <c r="B353" s="46" t="s">
        <v>4</v>
      </c>
      <c r="C353" s="46" t="s">
        <v>5</v>
      </c>
      <c r="D353" s="46" t="s">
        <v>6</v>
      </c>
      <c r="E353" s="46" t="s">
        <v>7</v>
      </c>
      <c r="F353" s="46" t="s">
        <v>8</v>
      </c>
      <c r="G353" s="46"/>
      <c r="H353" s="46"/>
      <c r="I353" s="47"/>
      <c r="J353" s="46"/>
    </row>
    <row r="354">
      <c r="A354" s="48">
        <v>1.0</v>
      </c>
      <c r="B354" s="49">
        <v>2.0</v>
      </c>
      <c r="C354" s="34">
        <v>228.0</v>
      </c>
      <c r="D354" s="27">
        <v>0.0</v>
      </c>
      <c r="E354" s="27">
        <v>100.0</v>
      </c>
      <c r="F354" s="50">
        <v>24.0</v>
      </c>
      <c r="G354" s="51">
        <f t="shared" ref="G354:G363" si="127">(B354*0.5 + C354/100*0.2 + (51 - F354)/5*0.3)/10</f>
        <v>0.3076</v>
      </c>
      <c r="H354" s="52">
        <f t="shared" ref="H354:H363" si="128">(D354*0.5 + E354/100*0.2 + (51 - F354)/5*0.3)/10</f>
        <v>0.182</v>
      </c>
      <c r="I354" s="53">
        <f t="shared" ref="I354:I364" si="129">AVERAGE(G354,H354)</f>
        <v>0.2448</v>
      </c>
      <c r="J354" s="1" t="s">
        <v>15</v>
      </c>
    </row>
    <row r="355">
      <c r="A355" s="48">
        <v>2.0</v>
      </c>
      <c r="B355" s="54">
        <v>2.0</v>
      </c>
      <c r="C355" s="35">
        <v>369.0</v>
      </c>
      <c r="D355" s="27">
        <v>0.0</v>
      </c>
      <c r="E355" s="27">
        <v>135.0</v>
      </c>
      <c r="F355" s="55">
        <v>11.0</v>
      </c>
      <c r="G355" s="56">
        <f t="shared" si="127"/>
        <v>0.4138</v>
      </c>
      <c r="H355" s="57">
        <f t="shared" si="128"/>
        <v>0.267</v>
      </c>
      <c r="I355" s="58">
        <f t="shared" si="129"/>
        <v>0.3404</v>
      </c>
      <c r="J355" s="6">
        <f>B364/10</f>
        <v>1.6</v>
      </c>
    </row>
    <row r="356">
      <c r="A356" s="48">
        <v>3.0</v>
      </c>
      <c r="B356" s="54">
        <v>0.0</v>
      </c>
      <c r="C356" s="36">
        <v>261.0</v>
      </c>
      <c r="D356" s="27">
        <v>0.0</v>
      </c>
      <c r="E356" s="27">
        <v>81.0</v>
      </c>
      <c r="F356" s="59">
        <v>31.0</v>
      </c>
      <c r="G356" s="60">
        <f t="shared" si="127"/>
        <v>0.1722</v>
      </c>
      <c r="H356" s="61">
        <f t="shared" si="128"/>
        <v>0.1362</v>
      </c>
      <c r="I356" s="62">
        <f t="shared" si="129"/>
        <v>0.1542</v>
      </c>
      <c r="J356" s="1" t="s">
        <v>19</v>
      </c>
    </row>
    <row r="357">
      <c r="A357" s="48">
        <v>4.0</v>
      </c>
      <c r="B357" s="63">
        <v>1.0</v>
      </c>
      <c r="C357" s="37">
        <v>138.0</v>
      </c>
      <c r="D357" s="27">
        <v>1.0</v>
      </c>
      <c r="E357" s="27">
        <v>100.0</v>
      </c>
      <c r="F357" s="64">
        <v>43.0</v>
      </c>
      <c r="G357" s="65">
        <f t="shared" si="127"/>
        <v>0.1256</v>
      </c>
      <c r="H357" s="66">
        <f t="shared" si="128"/>
        <v>0.118</v>
      </c>
      <c r="I357" s="67">
        <f t="shared" si="129"/>
        <v>0.1218</v>
      </c>
      <c r="J357" s="6">
        <f>D364/10</f>
        <v>0.6</v>
      </c>
    </row>
    <row r="358">
      <c r="A358" s="48">
        <v>5.0</v>
      </c>
      <c r="B358" s="68">
        <v>0.0</v>
      </c>
      <c r="C358" s="38">
        <v>236.0</v>
      </c>
      <c r="D358" s="27">
        <v>2.0</v>
      </c>
      <c r="E358" s="27">
        <v>234.0</v>
      </c>
      <c r="F358" s="69">
        <v>31.0</v>
      </c>
      <c r="G358" s="70">
        <f t="shared" si="127"/>
        <v>0.1672</v>
      </c>
      <c r="H358" s="71">
        <f t="shared" si="128"/>
        <v>0.2668</v>
      </c>
      <c r="I358" s="72">
        <f t="shared" si="129"/>
        <v>0.217</v>
      </c>
      <c r="J358" s="7" t="s">
        <v>23</v>
      </c>
    </row>
    <row r="359">
      <c r="A359" s="48">
        <v>6.0</v>
      </c>
      <c r="B359" s="68">
        <v>5.0</v>
      </c>
      <c r="C359" s="39">
        <v>560.0</v>
      </c>
      <c r="D359" s="27">
        <v>0.0</v>
      </c>
      <c r="E359" s="27">
        <v>283.0</v>
      </c>
      <c r="F359" s="73">
        <v>8.0</v>
      </c>
      <c r="G359" s="74">
        <f t="shared" si="127"/>
        <v>0.62</v>
      </c>
      <c r="H359" s="75">
        <f t="shared" si="128"/>
        <v>0.3146</v>
      </c>
      <c r="I359" s="8">
        <f t="shared" si="129"/>
        <v>0.4673</v>
      </c>
      <c r="J359" s="8">
        <f>J355/J357</f>
        <v>2.666666667</v>
      </c>
    </row>
    <row r="360">
      <c r="A360" s="48">
        <v>7.0</v>
      </c>
      <c r="B360" s="68">
        <v>2.0</v>
      </c>
      <c r="C360" s="40">
        <v>321.0</v>
      </c>
      <c r="D360" s="27">
        <v>0.0</v>
      </c>
      <c r="E360" s="27">
        <v>125.0</v>
      </c>
      <c r="F360" s="76">
        <v>29.0</v>
      </c>
      <c r="G360" s="77">
        <f t="shared" si="127"/>
        <v>0.2962</v>
      </c>
      <c r="H360" s="75">
        <f t="shared" si="128"/>
        <v>0.157</v>
      </c>
      <c r="I360" s="78">
        <f t="shared" si="129"/>
        <v>0.2266</v>
      </c>
      <c r="J360" s="10" t="s">
        <v>27</v>
      </c>
    </row>
    <row r="361">
      <c r="A361" s="48">
        <v>8.0</v>
      </c>
      <c r="B361" s="63">
        <v>2.0</v>
      </c>
      <c r="C361" s="41">
        <v>458.0</v>
      </c>
      <c r="D361" s="27">
        <v>1.0</v>
      </c>
      <c r="E361" s="27">
        <v>100.0</v>
      </c>
      <c r="F361" s="79">
        <v>6.0</v>
      </c>
      <c r="G361" s="80">
        <f t="shared" si="127"/>
        <v>0.4616</v>
      </c>
      <c r="H361" s="81">
        <f t="shared" si="128"/>
        <v>0.34</v>
      </c>
      <c r="I361" s="13">
        <f t="shared" si="129"/>
        <v>0.4008</v>
      </c>
      <c r="J361" s="13">
        <f>J357/J355</f>
        <v>0.375</v>
      </c>
    </row>
    <row r="362">
      <c r="A362" s="48">
        <v>9.0</v>
      </c>
      <c r="B362" s="82">
        <v>1.0</v>
      </c>
      <c r="C362" s="38">
        <v>100.0</v>
      </c>
      <c r="D362" s="27">
        <v>1.0</v>
      </c>
      <c r="E362" s="27">
        <v>100.0</v>
      </c>
      <c r="F362" s="64">
        <v>21.0</v>
      </c>
      <c r="G362" s="83">
        <f t="shared" si="127"/>
        <v>0.25</v>
      </c>
      <c r="H362" s="84">
        <f t="shared" si="128"/>
        <v>0.25</v>
      </c>
      <c r="I362" s="85">
        <f t="shared" si="129"/>
        <v>0.25</v>
      </c>
      <c r="J362" s="86"/>
    </row>
    <row r="363">
      <c r="A363" s="48">
        <v>10.0</v>
      </c>
      <c r="B363" s="82">
        <v>1.0</v>
      </c>
      <c r="C363" s="42">
        <v>346.0</v>
      </c>
      <c r="D363" s="27">
        <v>1.0</v>
      </c>
      <c r="E363" s="27">
        <v>100.0</v>
      </c>
      <c r="F363" s="87">
        <v>28.0</v>
      </c>
      <c r="G363" s="88">
        <f t="shared" si="127"/>
        <v>0.2572</v>
      </c>
      <c r="H363" s="89">
        <f t="shared" si="128"/>
        <v>0.208</v>
      </c>
      <c r="I363" s="90">
        <f t="shared" si="129"/>
        <v>0.2326</v>
      </c>
      <c r="J363" s="91"/>
    </row>
    <row r="364">
      <c r="A364" s="43" t="s">
        <v>33</v>
      </c>
      <c r="B364" s="92">
        <f>SUM(B354:B363)</f>
        <v>16</v>
      </c>
      <c r="C364" s="93">
        <f>AVERAGE(C354:C363)</f>
        <v>301.7</v>
      </c>
      <c r="D364" s="93">
        <f>SUM(D354:D363)</f>
        <v>6</v>
      </c>
      <c r="E364" s="93">
        <f t="shared" ref="E364:F364" si="130">AVERAGE(E354:E363)</f>
        <v>135.8</v>
      </c>
      <c r="F364" s="94">
        <f t="shared" si="130"/>
        <v>23.2</v>
      </c>
      <c r="G364" s="95">
        <f t="shared" ref="G364:H364" si="131">Average(G354:G363)</f>
        <v>0.30714</v>
      </c>
      <c r="H364" s="96">
        <f t="shared" si="131"/>
        <v>0.22396</v>
      </c>
      <c r="I364" s="97">
        <f t="shared" si="129"/>
        <v>0.26555</v>
      </c>
      <c r="J364" s="98"/>
    </row>
    <row r="366">
      <c r="A366" s="43"/>
      <c r="B366" s="43" t="s">
        <v>0</v>
      </c>
      <c r="C366" s="44" t="s">
        <v>102</v>
      </c>
      <c r="D366" s="43" t="s">
        <v>2</v>
      </c>
      <c r="E366" s="43" t="str">
        <f>"Game on " &amp; MATCH(MAX(I368:I377), I368:I377, 0) + ROW(I368) - 1 &amp; ". row"
</f>
        <v>Game on 369. row</v>
      </c>
      <c r="F366" s="43"/>
      <c r="G366" s="43"/>
      <c r="H366" s="43"/>
      <c r="I366" s="45"/>
    </row>
    <row r="367">
      <c r="A367" s="44" t="s">
        <v>103</v>
      </c>
      <c r="B367" s="46" t="s">
        <v>4</v>
      </c>
      <c r="C367" s="46" t="s">
        <v>5</v>
      </c>
      <c r="D367" s="46" t="s">
        <v>6</v>
      </c>
      <c r="E367" s="46" t="s">
        <v>7</v>
      </c>
      <c r="F367" s="46" t="s">
        <v>8</v>
      </c>
      <c r="G367" s="46"/>
      <c r="H367" s="46"/>
      <c r="I367" s="47"/>
      <c r="J367" s="46"/>
    </row>
    <row r="368">
      <c r="A368" s="48">
        <v>1.0</v>
      </c>
      <c r="B368" s="49">
        <v>0.0</v>
      </c>
      <c r="C368" s="34">
        <v>0.0</v>
      </c>
      <c r="D368" s="27">
        <v>0.0</v>
      </c>
      <c r="E368" s="27">
        <v>0.0</v>
      </c>
      <c r="F368" s="50">
        <v>34.0</v>
      </c>
      <c r="G368" s="51">
        <f t="shared" ref="G368:G377" si="132">(B368*0.5 + C368/100*0.2 + (51 - F368)/5*0.3)/10</f>
        <v>0.102</v>
      </c>
      <c r="H368" s="52">
        <f t="shared" ref="H368:H377" si="133">(D368*0.5 + E368/100*0.2 + (51 - F368)/5*0.3)/10</f>
        <v>0.102</v>
      </c>
      <c r="I368" s="53">
        <f t="shared" ref="I368:I378" si="134">AVERAGE(G368,H368)</f>
        <v>0.102</v>
      </c>
      <c r="J368" s="1" t="s">
        <v>15</v>
      </c>
    </row>
    <row r="369">
      <c r="A369" s="48">
        <v>2.0</v>
      </c>
      <c r="B369" s="54">
        <v>4.0</v>
      </c>
      <c r="C369" s="35">
        <v>354.0</v>
      </c>
      <c r="D369" s="27">
        <v>4.0</v>
      </c>
      <c r="E369" s="27">
        <v>331.0</v>
      </c>
      <c r="F369" s="55">
        <v>9.0</v>
      </c>
      <c r="G369" s="56">
        <f t="shared" si="132"/>
        <v>0.5228</v>
      </c>
      <c r="H369" s="57">
        <f t="shared" si="133"/>
        <v>0.5182</v>
      </c>
      <c r="I369" s="58">
        <f t="shared" si="134"/>
        <v>0.5205</v>
      </c>
      <c r="J369" s="6">
        <f>B378/10</f>
        <v>1.1</v>
      </c>
    </row>
    <row r="370">
      <c r="A370" s="48">
        <v>3.0</v>
      </c>
      <c r="B370" s="54">
        <v>1.0</v>
      </c>
      <c r="C370" s="36">
        <v>261.0</v>
      </c>
      <c r="D370" s="27">
        <v>1.0</v>
      </c>
      <c r="E370" s="27">
        <v>161.0</v>
      </c>
      <c r="F370" s="59">
        <v>7.0</v>
      </c>
      <c r="G370" s="60">
        <f t="shared" si="132"/>
        <v>0.3662</v>
      </c>
      <c r="H370" s="61">
        <f t="shared" si="133"/>
        <v>0.3462</v>
      </c>
      <c r="I370" s="62">
        <f t="shared" si="134"/>
        <v>0.3562</v>
      </c>
      <c r="J370" s="1" t="s">
        <v>19</v>
      </c>
    </row>
    <row r="371">
      <c r="A371" s="48">
        <v>4.0</v>
      </c>
      <c r="B371" s="63">
        <v>0.0</v>
      </c>
      <c r="C371" s="37">
        <v>0.0</v>
      </c>
      <c r="D371" s="27">
        <v>0.0</v>
      </c>
      <c r="E371" s="27">
        <v>143.0</v>
      </c>
      <c r="F371" s="64">
        <v>25.0</v>
      </c>
      <c r="G371" s="65">
        <f t="shared" si="132"/>
        <v>0.156</v>
      </c>
      <c r="H371" s="66">
        <f t="shared" si="133"/>
        <v>0.1846</v>
      </c>
      <c r="I371" s="67">
        <f t="shared" si="134"/>
        <v>0.1703</v>
      </c>
      <c r="J371" s="6">
        <f>D378/10</f>
        <v>0.7</v>
      </c>
    </row>
    <row r="372">
      <c r="A372" s="48">
        <v>5.0</v>
      </c>
      <c r="B372" s="68">
        <v>2.0</v>
      </c>
      <c r="C372" s="38">
        <v>377.0</v>
      </c>
      <c r="D372" s="27">
        <v>0.0</v>
      </c>
      <c r="E372" s="27">
        <v>124.0</v>
      </c>
      <c r="F372" s="69">
        <v>7.0</v>
      </c>
      <c r="G372" s="70">
        <f t="shared" si="132"/>
        <v>0.4394</v>
      </c>
      <c r="H372" s="71">
        <f t="shared" si="133"/>
        <v>0.2888</v>
      </c>
      <c r="I372" s="72">
        <f t="shared" si="134"/>
        <v>0.3641</v>
      </c>
      <c r="J372" s="7" t="s">
        <v>23</v>
      </c>
    </row>
    <row r="373">
      <c r="A373" s="48">
        <v>6.0</v>
      </c>
      <c r="B373" s="68">
        <v>0.0</v>
      </c>
      <c r="C373" s="39">
        <v>0.0</v>
      </c>
      <c r="D373" s="27">
        <v>2.0</v>
      </c>
      <c r="E373" s="27">
        <v>277.0</v>
      </c>
      <c r="F373" s="73">
        <v>29.0</v>
      </c>
      <c r="G373" s="74">
        <f t="shared" si="132"/>
        <v>0.132</v>
      </c>
      <c r="H373" s="75">
        <f t="shared" si="133"/>
        <v>0.2874</v>
      </c>
      <c r="I373" s="8">
        <f t="shared" si="134"/>
        <v>0.2097</v>
      </c>
      <c r="J373" s="8">
        <f>J369/J371</f>
        <v>1.571428571</v>
      </c>
    </row>
    <row r="374">
      <c r="A374" s="48">
        <v>7.0</v>
      </c>
      <c r="B374" s="68">
        <v>2.0</v>
      </c>
      <c r="C374" s="40">
        <v>268.0</v>
      </c>
      <c r="D374" s="27">
        <v>0.0</v>
      </c>
      <c r="E374" s="27">
        <v>302.0</v>
      </c>
      <c r="F374" s="76">
        <v>22.0</v>
      </c>
      <c r="G374" s="77">
        <f t="shared" si="132"/>
        <v>0.3276</v>
      </c>
      <c r="H374" s="75">
        <f t="shared" si="133"/>
        <v>0.2344</v>
      </c>
      <c r="I374" s="78">
        <f t="shared" si="134"/>
        <v>0.281</v>
      </c>
      <c r="J374" s="10" t="s">
        <v>27</v>
      </c>
    </row>
    <row r="375">
      <c r="A375" s="48">
        <v>8.0</v>
      </c>
      <c r="B375" s="63">
        <v>2.0</v>
      </c>
      <c r="C375" s="41">
        <v>185.0</v>
      </c>
      <c r="D375" s="27">
        <v>0.0</v>
      </c>
      <c r="E375" s="27">
        <v>0.0</v>
      </c>
      <c r="F375" s="79">
        <v>42.0</v>
      </c>
      <c r="G375" s="80">
        <f t="shared" si="132"/>
        <v>0.191</v>
      </c>
      <c r="H375" s="81">
        <f t="shared" si="133"/>
        <v>0.054</v>
      </c>
      <c r="I375" s="13">
        <f t="shared" si="134"/>
        <v>0.1225</v>
      </c>
      <c r="J375" s="13">
        <f>J371/J369</f>
        <v>0.6363636364</v>
      </c>
    </row>
    <row r="376">
      <c r="A376" s="48">
        <v>9.0</v>
      </c>
      <c r="B376" s="82">
        <v>0.0</v>
      </c>
      <c r="C376" s="38">
        <v>231.0</v>
      </c>
      <c r="D376" s="27">
        <v>0.0</v>
      </c>
      <c r="E376" s="27">
        <v>62.0</v>
      </c>
      <c r="F376" s="64">
        <v>31.0</v>
      </c>
      <c r="G376" s="83">
        <f t="shared" si="132"/>
        <v>0.1662</v>
      </c>
      <c r="H376" s="84">
        <f t="shared" si="133"/>
        <v>0.1324</v>
      </c>
      <c r="I376" s="85">
        <f t="shared" si="134"/>
        <v>0.1493</v>
      </c>
      <c r="J376" s="86"/>
    </row>
    <row r="377">
      <c r="A377" s="48">
        <v>10.0</v>
      </c>
      <c r="B377" s="82">
        <v>0.0</v>
      </c>
      <c r="C377" s="42">
        <v>0.0</v>
      </c>
      <c r="D377" s="27">
        <v>0.0</v>
      </c>
      <c r="E377" s="27">
        <v>100.0</v>
      </c>
      <c r="F377" s="87">
        <v>38.0</v>
      </c>
      <c r="G377" s="88">
        <f t="shared" si="132"/>
        <v>0.078</v>
      </c>
      <c r="H377" s="89">
        <f t="shared" si="133"/>
        <v>0.098</v>
      </c>
      <c r="I377" s="90">
        <f t="shared" si="134"/>
        <v>0.088</v>
      </c>
      <c r="J377" s="91"/>
    </row>
    <row r="378">
      <c r="A378" s="43" t="s">
        <v>33</v>
      </c>
      <c r="B378" s="92">
        <f>SUM(B368:B377)</f>
        <v>11</v>
      </c>
      <c r="C378" s="93">
        <f>AVERAGE(C368:C377)</f>
        <v>167.6</v>
      </c>
      <c r="D378" s="93">
        <f>SUM(D368:D377)</f>
        <v>7</v>
      </c>
      <c r="E378" s="93">
        <f t="shared" ref="E378:F378" si="135">AVERAGE(E368:E377)</f>
        <v>150</v>
      </c>
      <c r="F378" s="94">
        <f t="shared" si="135"/>
        <v>24.4</v>
      </c>
      <c r="G378" s="95">
        <f t="shared" ref="G378:H378" si="136">Average(G368:G377)</f>
        <v>0.24812</v>
      </c>
      <c r="H378" s="96">
        <f t="shared" si="136"/>
        <v>0.2246</v>
      </c>
      <c r="I378" s="97">
        <f t="shared" si="134"/>
        <v>0.23636</v>
      </c>
      <c r="J378" s="98"/>
    </row>
    <row r="380">
      <c r="A380" s="43"/>
      <c r="B380" s="43" t="s">
        <v>0</v>
      </c>
      <c r="C380" s="44" t="s">
        <v>104</v>
      </c>
      <c r="D380" s="43" t="s">
        <v>2</v>
      </c>
      <c r="E380" s="43" t="str">
        <f>"Game on " &amp; MATCH(MAX(I382:I391), I382:I391, 0) + ROW(I382) - 1 &amp; ". row"
</f>
        <v>Game on 387. row</v>
      </c>
      <c r="F380" s="43"/>
      <c r="G380" s="43"/>
      <c r="H380" s="43"/>
      <c r="I380" s="45"/>
    </row>
    <row r="381">
      <c r="A381" s="44" t="s">
        <v>105</v>
      </c>
      <c r="B381" s="46" t="s">
        <v>4</v>
      </c>
      <c r="C381" s="46" t="s">
        <v>5</v>
      </c>
      <c r="D381" s="46" t="s">
        <v>6</v>
      </c>
      <c r="E381" s="46" t="s">
        <v>7</v>
      </c>
      <c r="F381" s="46" t="s">
        <v>8</v>
      </c>
      <c r="G381" s="46"/>
      <c r="H381" s="46"/>
      <c r="I381" s="47"/>
      <c r="J381" s="46"/>
    </row>
    <row r="382">
      <c r="A382" s="48">
        <v>1.0</v>
      </c>
      <c r="B382" s="49">
        <v>0.0</v>
      </c>
      <c r="C382" s="34">
        <v>80.0</v>
      </c>
      <c r="D382" s="27">
        <v>0.0</v>
      </c>
      <c r="E382" s="27">
        <v>54.0</v>
      </c>
      <c r="F382" s="50">
        <v>22.0</v>
      </c>
      <c r="G382" s="51">
        <f t="shared" ref="G382:G391" si="137">(B382*0.5 + C382/100*0.2 + (51 - F382)/5*0.3)/10</f>
        <v>0.19</v>
      </c>
      <c r="H382" s="52">
        <f t="shared" ref="H382:H391" si="138">(D382*0.5 + E382/100*0.2 + (51 - F382)/5*0.3)/10</f>
        <v>0.1848</v>
      </c>
      <c r="I382" s="53">
        <f t="shared" ref="I382:I392" si="139">AVERAGE(G382,H382)</f>
        <v>0.1874</v>
      </c>
      <c r="J382" s="1" t="s">
        <v>15</v>
      </c>
    </row>
    <row r="383">
      <c r="A383" s="48">
        <v>2.0</v>
      </c>
      <c r="B383" s="54">
        <v>1.0</v>
      </c>
      <c r="C383" s="35">
        <v>130.0</v>
      </c>
      <c r="D383" s="27">
        <v>0.0</v>
      </c>
      <c r="E383" s="27">
        <v>98.0</v>
      </c>
      <c r="F383" s="55">
        <v>31.0</v>
      </c>
      <c r="G383" s="56">
        <f t="shared" si="137"/>
        <v>0.196</v>
      </c>
      <c r="H383" s="57">
        <f t="shared" si="138"/>
        <v>0.1396</v>
      </c>
      <c r="I383" s="58">
        <f t="shared" si="139"/>
        <v>0.1678</v>
      </c>
      <c r="J383" s="6">
        <f>B392/10</f>
        <v>2.3</v>
      </c>
    </row>
    <row r="384">
      <c r="A384" s="48">
        <v>3.0</v>
      </c>
      <c r="B384" s="54">
        <v>1.0</v>
      </c>
      <c r="C384" s="36">
        <v>92.0</v>
      </c>
      <c r="D384" s="27">
        <v>0.0</v>
      </c>
      <c r="E384" s="27">
        <v>47.0</v>
      </c>
      <c r="F384" s="59">
        <v>25.0</v>
      </c>
      <c r="G384" s="60">
        <f t="shared" si="137"/>
        <v>0.2244</v>
      </c>
      <c r="H384" s="61">
        <f t="shared" si="138"/>
        <v>0.1654</v>
      </c>
      <c r="I384" s="62">
        <f t="shared" si="139"/>
        <v>0.1949</v>
      </c>
      <c r="J384" s="1" t="s">
        <v>19</v>
      </c>
    </row>
    <row r="385">
      <c r="A385" s="48">
        <v>4.0</v>
      </c>
      <c r="B385" s="63">
        <v>2.0</v>
      </c>
      <c r="C385" s="37">
        <v>268.0</v>
      </c>
      <c r="D385" s="27">
        <v>0.0</v>
      </c>
      <c r="E385" s="27">
        <v>0.0</v>
      </c>
      <c r="F385" s="64">
        <v>42.0</v>
      </c>
      <c r="G385" s="65">
        <f t="shared" si="137"/>
        <v>0.2076</v>
      </c>
      <c r="H385" s="66">
        <f t="shared" si="138"/>
        <v>0.054</v>
      </c>
      <c r="I385" s="67">
        <f t="shared" si="139"/>
        <v>0.1308</v>
      </c>
      <c r="J385" s="6">
        <f>D392/10</f>
        <v>0.3</v>
      </c>
    </row>
    <row r="386">
      <c r="A386" s="48">
        <v>5.0</v>
      </c>
      <c r="B386" s="68">
        <v>2.0</v>
      </c>
      <c r="C386" s="38">
        <v>739.0</v>
      </c>
      <c r="D386" s="27">
        <v>0.0</v>
      </c>
      <c r="E386" s="27">
        <v>288.0</v>
      </c>
      <c r="F386" s="69">
        <v>4.0</v>
      </c>
      <c r="G386" s="70">
        <f t="shared" si="137"/>
        <v>0.5298</v>
      </c>
      <c r="H386" s="71">
        <f t="shared" si="138"/>
        <v>0.3396</v>
      </c>
      <c r="I386" s="72">
        <f t="shared" si="139"/>
        <v>0.4347</v>
      </c>
      <c r="J386" s="7" t="s">
        <v>23</v>
      </c>
    </row>
    <row r="387">
      <c r="A387" s="48">
        <v>6.0</v>
      </c>
      <c r="B387" s="68">
        <v>9.0</v>
      </c>
      <c r="C387" s="39">
        <v>1195.0</v>
      </c>
      <c r="D387" s="27">
        <v>1.0</v>
      </c>
      <c r="E387" s="27">
        <v>100.0</v>
      </c>
      <c r="F387" s="73">
        <v>4.0</v>
      </c>
      <c r="G387" s="74">
        <f t="shared" si="137"/>
        <v>0.971</v>
      </c>
      <c r="H387" s="75">
        <f t="shared" si="138"/>
        <v>0.352</v>
      </c>
      <c r="I387" s="8">
        <f t="shared" si="139"/>
        <v>0.6615</v>
      </c>
      <c r="J387" s="8">
        <f>J383/J385</f>
        <v>7.666666667</v>
      </c>
    </row>
    <row r="388">
      <c r="A388" s="48">
        <v>7.0</v>
      </c>
      <c r="B388" s="68">
        <v>0.0</v>
      </c>
      <c r="C388" s="40">
        <v>156.0</v>
      </c>
      <c r="D388" s="27">
        <v>1.0</v>
      </c>
      <c r="E388" s="27">
        <v>262.0</v>
      </c>
      <c r="F388" s="76">
        <v>22.0</v>
      </c>
      <c r="G388" s="77">
        <f t="shared" si="137"/>
        <v>0.2052</v>
      </c>
      <c r="H388" s="75">
        <f t="shared" si="138"/>
        <v>0.2764</v>
      </c>
      <c r="I388" s="78">
        <f t="shared" si="139"/>
        <v>0.2408</v>
      </c>
      <c r="J388" s="10" t="s">
        <v>27</v>
      </c>
    </row>
    <row r="389">
      <c r="A389" s="48">
        <v>8.0</v>
      </c>
      <c r="B389" s="63">
        <v>2.0</v>
      </c>
      <c r="C389" s="41">
        <v>256.0</v>
      </c>
      <c r="D389" s="27">
        <v>1.0</v>
      </c>
      <c r="E389" s="27">
        <v>92.0</v>
      </c>
      <c r="F389" s="79">
        <v>9.0</v>
      </c>
      <c r="G389" s="80">
        <f t="shared" si="137"/>
        <v>0.4032</v>
      </c>
      <c r="H389" s="81">
        <f t="shared" si="138"/>
        <v>0.3204</v>
      </c>
      <c r="I389" s="13">
        <f t="shared" si="139"/>
        <v>0.3618</v>
      </c>
      <c r="J389" s="13">
        <f>J385/J383</f>
        <v>0.1304347826</v>
      </c>
    </row>
    <row r="390">
      <c r="A390" s="48">
        <v>9.0</v>
      </c>
      <c r="B390" s="82">
        <v>0.0</v>
      </c>
      <c r="C390" s="38">
        <v>0.0</v>
      </c>
      <c r="D390" s="27">
        <v>0.0</v>
      </c>
      <c r="E390" s="27">
        <v>0.0</v>
      </c>
      <c r="F390" s="64">
        <v>36.0</v>
      </c>
      <c r="G390" s="83">
        <f t="shared" si="137"/>
        <v>0.09</v>
      </c>
      <c r="H390" s="84">
        <f t="shared" si="138"/>
        <v>0.09</v>
      </c>
      <c r="I390" s="85">
        <f t="shared" si="139"/>
        <v>0.09</v>
      </c>
      <c r="J390" s="86"/>
    </row>
    <row r="391">
      <c r="A391" s="48">
        <v>10.0</v>
      </c>
      <c r="B391" s="82">
        <v>6.0</v>
      </c>
      <c r="C391" s="42">
        <v>698.0</v>
      </c>
      <c r="D391" s="27">
        <v>0.0</v>
      </c>
      <c r="E391" s="27">
        <v>401.0</v>
      </c>
      <c r="F391" s="87">
        <v>1.0</v>
      </c>
      <c r="G391" s="88">
        <f t="shared" si="137"/>
        <v>0.7396</v>
      </c>
      <c r="H391" s="89">
        <f t="shared" si="138"/>
        <v>0.3802</v>
      </c>
      <c r="I391" s="90">
        <f t="shared" si="139"/>
        <v>0.5599</v>
      </c>
      <c r="J391" s="91"/>
    </row>
    <row r="392">
      <c r="A392" s="43" t="s">
        <v>33</v>
      </c>
      <c r="B392" s="92">
        <f>SUM(B382:B391)</f>
        <v>23</v>
      </c>
      <c r="C392" s="93">
        <f>AVERAGE(C382:C391)</f>
        <v>361.4</v>
      </c>
      <c r="D392" s="93">
        <f>SUM(D382:D391)</f>
        <v>3</v>
      </c>
      <c r="E392" s="93">
        <f t="shared" ref="E392:F392" si="140">AVERAGE(E382:E391)</f>
        <v>134.2</v>
      </c>
      <c r="F392" s="94">
        <f t="shared" si="140"/>
        <v>19.6</v>
      </c>
      <c r="G392" s="95">
        <f t="shared" ref="G392:H392" si="141">Average(G382:G391)</f>
        <v>0.37568</v>
      </c>
      <c r="H392" s="96">
        <f t="shared" si="141"/>
        <v>0.23024</v>
      </c>
      <c r="I392" s="97">
        <f t="shared" si="139"/>
        <v>0.30296</v>
      </c>
      <c r="J392" s="98"/>
    </row>
    <row r="394">
      <c r="A394" s="43"/>
      <c r="B394" s="43" t="s">
        <v>0</v>
      </c>
      <c r="C394" s="44" t="s">
        <v>106</v>
      </c>
      <c r="D394" s="43" t="s">
        <v>2</v>
      </c>
      <c r="E394" s="43" t="str">
        <f>"Game on " &amp; MATCH(MAX(I396:I405), I396:I405, 0) + ROW(I396) - 1 &amp; ". row"
</f>
        <v>Game on 401. row</v>
      </c>
      <c r="F394" s="43"/>
      <c r="G394" s="43"/>
      <c r="H394" s="43"/>
      <c r="I394" s="45"/>
    </row>
    <row r="395">
      <c r="A395" s="44" t="s">
        <v>107</v>
      </c>
      <c r="B395" s="46" t="s">
        <v>4</v>
      </c>
      <c r="C395" s="46" t="s">
        <v>5</v>
      </c>
      <c r="D395" s="46" t="s">
        <v>6</v>
      </c>
      <c r="E395" s="46" t="s">
        <v>7</v>
      </c>
      <c r="F395" s="46" t="s">
        <v>8</v>
      </c>
      <c r="G395" s="46"/>
      <c r="H395" s="46"/>
      <c r="I395" s="47"/>
      <c r="J395" s="46"/>
    </row>
    <row r="396">
      <c r="A396" s="48">
        <v>1.0</v>
      </c>
      <c r="B396" s="49">
        <v>1.0</v>
      </c>
      <c r="C396" s="34">
        <v>352.0</v>
      </c>
      <c r="D396" s="27">
        <v>0.0</v>
      </c>
      <c r="E396" s="27">
        <v>17.0</v>
      </c>
      <c r="F396" s="50">
        <v>19.0</v>
      </c>
      <c r="G396" s="51">
        <f t="shared" ref="G396:G405" si="142">(B396*0.5 + C396/100*0.2 + (51 - F396)/5*0.3)/10</f>
        <v>0.3124</v>
      </c>
      <c r="H396" s="52">
        <f t="shared" ref="H396:H405" si="143">(D396*0.5 + E396/100*0.2 + (51 - F396)/5*0.3)/10</f>
        <v>0.1954</v>
      </c>
      <c r="I396" s="53">
        <f t="shared" ref="I396:I406" si="144">AVERAGE(G396,H396)</f>
        <v>0.2539</v>
      </c>
      <c r="J396" s="1" t="s">
        <v>15</v>
      </c>
    </row>
    <row r="397">
      <c r="A397" s="48">
        <v>2.0</v>
      </c>
      <c r="B397" s="54">
        <v>0.0</v>
      </c>
      <c r="C397" s="35">
        <v>65.0</v>
      </c>
      <c r="D397" s="27">
        <v>0.0</v>
      </c>
      <c r="E397" s="27">
        <v>53.0</v>
      </c>
      <c r="F397" s="55">
        <v>40.0</v>
      </c>
      <c r="G397" s="56">
        <f t="shared" si="142"/>
        <v>0.079</v>
      </c>
      <c r="H397" s="57">
        <f t="shared" si="143"/>
        <v>0.0766</v>
      </c>
      <c r="I397" s="58">
        <f t="shared" si="144"/>
        <v>0.0778</v>
      </c>
      <c r="J397" s="6">
        <f>B406/10</f>
        <v>0.9</v>
      </c>
    </row>
    <row r="398">
      <c r="A398" s="48">
        <v>3.0</v>
      </c>
      <c r="B398" s="54">
        <v>0.0</v>
      </c>
      <c r="C398" s="36">
        <v>0.0</v>
      </c>
      <c r="D398" s="27">
        <v>0.0</v>
      </c>
      <c r="E398" s="27">
        <v>53.0</v>
      </c>
      <c r="F398" s="59">
        <v>30.0</v>
      </c>
      <c r="G398" s="60">
        <f t="shared" si="142"/>
        <v>0.126</v>
      </c>
      <c r="H398" s="61">
        <f t="shared" si="143"/>
        <v>0.1366</v>
      </c>
      <c r="I398" s="62">
        <f t="shared" si="144"/>
        <v>0.1313</v>
      </c>
      <c r="J398" s="1" t="s">
        <v>19</v>
      </c>
    </row>
    <row r="399">
      <c r="A399" s="48">
        <v>4.0</v>
      </c>
      <c r="B399" s="63">
        <v>0.0</v>
      </c>
      <c r="C399" s="37">
        <v>0.0</v>
      </c>
      <c r="D399" s="27">
        <v>1.0</v>
      </c>
      <c r="E399" s="27">
        <v>125.0</v>
      </c>
      <c r="F399" s="64">
        <v>33.0</v>
      </c>
      <c r="G399" s="65">
        <f t="shared" si="142"/>
        <v>0.108</v>
      </c>
      <c r="H399" s="66">
        <f t="shared" si="143"/>
        <v>0.183</v>
      </c>
      <c r="I399" s="67">
        <f t="shared" si="144"/>
        <v>0.1455</v>
      </c>
      <c r="J399" s="6">
        <f>D406/10</f>
        <v>0.3</v>
      </c>
    </row>
    <row r="400">
      <c r="A400" s="48">
        <v>5.0</v>
      </c>
      <c r="B400" s="68">
        <v>0.0</v>
      </c>
      <c r="C400" s="38">
        <v>0.0</v>
      </c>
      <c r="D400" s="27">
        <v>1.0</v>
      </c>
      <c r="E400" s="27">
        <v>100.0</v>
      </c>
      <c r="F400" s="69">
        <v>29.0</v>
      </c>
      <c r="G400" s="70">
        <f t="shared" si="142"/>
        <v>0.132</v>
      </c>
      <c r="H400" s="71">
        <f t="shared" si="143"/>
        <v>0.202</v>
      </c>
      <c r="I400" s="72">
        <f t="shared" si="144"/>
        <v>0.167</v>
      </c>
      <c r="J400" s="7" t="s">
        <v>23</v>
      </c>
    </row>
    <row r="401">
      <c r="A401" s="48">
        <v>6.0</v>
      </c>
      <c r="B401" s="68">
        <v>3.0</v>
      </c>
      <c r="C401" s="39">
        <v>547.0</v>
      </c>
      <c r="D401" s="27">
        <v>1.0</v>
      </c>
      <c r="E401" s="27">
        <v>172.0</v>
      </c>
      <c r="F401" s="73">
        <v>12.0</v>
      </c>
      <c r="G401" s="74">
        <f t="shared" si="142"/>
        <v>0.4934</v>
      </c>
      <c r="H401" s="75">
        <f t="shared" si="143"/>
        <v>0.3184</v>
      </c>
      <c r="I401" s="8">
        <f t="shared" si="144"/>
        <v>0.4059</v>
      </c>
      <c r="J401" s="8">
        <f>J397/J399</f>
        <v>3</v>
      </c>
    </row>
    <row r="402">
      <c r="A402" s="48">
        <v>7.0</v>
      </c>
      <c r="B402" s="68">
        <v>3.0</v>
      </c>
      <c r="C402" s="40">
        <v>353.0</v>
      </c>
      <c r="D402" s="27">
        <v>0.0</v>
      </c>
      <c r="E402" s="27">
        <v>18.0</v>
      </c>
      <c r="F402" s="76">
        <v>6.0</v>
      </c>
      <c r="G402" s="77">
        <f t="shared" si="142"/>
        <v>0.4906</v>
      </c>
      <c r="H402" s="75">
        <f t="shared" si="143"/>
        <v>0.2736</v>
      </c>
      <c r="I402" s="78">
        <f t="shared" si="144"/>
        <v>0.3821</v>
      </c>
      <c r="J402" s="10" t="s">
        <v>27</v>
      </c>
    </row>
    <row r="403">
      <c r="A403" s="48">
        <v>8.0</v>
      </c>
      <c r="B403" s="63">
        <v>0.0</v>
      </c>
      <c r="C403" s="41">
        <v>55.0</v>
      </c>
      <c r="D403" s="27">
        <v>0.0</v>
      </c>
      <c r="E403" s="27">
        <v>0.0</v>
      </c>
      <c r="F403" s="79">
        <v>22.0</v>
      </c>
      <c r="G403" s="80">
        <f t="shared" si="142"/>
        <v>0.185</v>
      </c>
      <c r="H403" s="81">
        <f t="shared" si="143"/>
        <v>0.174</v>
      </c>
      <c r="I403" s="13">
        <f t="shared" si="144"/>
        <v>0.1795</v>
      </c>
      <c r="J403" s="13">
        <f>J399/J397</f>
        <v>0.3333333333</v>
      </c>
    </row>
    <row r="404">
      <c r="A404" s="48">
        <v>9.0</v>
      </c>
      <c r="B404" s="82">
        <v>0.0</v>
      </c>
      <c r="C404" s="38">
        <v>32.0</v>
      </c>
      <c r="D404" s="27">
        <v>0.0</v>
      </c>
      <c r="E404" s="27">
        <v>185.0</v>
      </c>
      <c r="F404" s="64">
        <v>36.0</v>
      </c>
      <c r="G404" s="83">
        <f t="shared" si="142"/>
        <v>0.0964</v>
      </c>
      <c r="H404" s="84">
        <f t="shared" si="143"/>
        <v>0.127</v>
      </c>
      <c r="I404" s="85">
        <f t="shared" si="144"/>
        <v>0.1117</v>
      </c>
      <c r="J404" s="86"/>
    </row>
    <row r="405">
      <c r="A405" s="48">
        <v>10.0</v>
      </c>
      <c r="B405" s="82">
        <v>2.0</v>
      </c>
      <c r="C405" s="42">
        <v>200.0</v>
      </c>
      <c r="D405" s="27">
        <v>0.0</v>
      </c>
      <c r="E405" s="27">
        <v>0.0</v>
      </c>
      <c r="F405" s="87">
        <v>37.0</v>
      </c>
      <c r="G405" s="88">
        <f t="shared" si="142"/>
        <v>0.224</v>
      </c>
      <c r="H405" s="89">
        <f t="shared" si="143"/>
        <v>0.084</v>
      </c>
      <c r="I405" s="90">
        <f t="shared" si="144"/>
        <v>0.154</v>
      </c>
      <c r="J405" s="91"/>
    </row>
    <row r="406">
      <c r="A406" s="43" t="s">
        <v>33</v>
      </c>
      <c r="B406" s="92">
        <f>SUM(B396:B405)</f>
        <v>9</v>
      </c>
      <c r="C406" s="93">
        <f>AVERAGE(C396:C405)</f>
        <v>160.4</v>
      </c>
      <c r="D406" s="93">
        <f>SUM(D396:D405)</f>
        <v>3</v>
      </c>
      <c r="E406" s="93">
        <f t="shared" ref="E406:F406" si="145">AVERAGE(E396:E405)</f>
        <v>72.3</v>
      </c>
      <c r="F406" s="94">
        <f t="shared" si="145"/>
        <v>26.4</v>
      </c>
      <c r="G406" s="95">
        <f t="shared" ref="G406:H406" si="146">Average(G396:G405)</f>
        <v>0.22468</v>
      </c>
      <c r="H406" s="96">
        <f t="shared" si="146"/>
        <v>0.17706</v>
      </c>
      <c r="I406" s="97">
        <f t="shared" si="144"/>
        <v>0.20087</v>
      </c>
      <c r="J406" s="98"/>
    </row>
    <row r="408">
      <c r="A408" s="43"/>
      <c r="B408" s="43" t="s">
        <v>0</v>
      </c>
      <c r="C408" s="44" t="s">
        <v>108</v>
      </c>
      <c r="D408" s="43" t="s">
        <v>2</v>
      </c>
      <c r="E408" s="43" t="str">
        <f>"Game on " &amp; MATCH(MAX(I410:I419), I410:I419, 0) + ROW(I410) - 1 &amp; ". row"
</f>
        <v>Game on 415. row</v>
      </c>
      <c r="F408" s="43"/>
      <c r="G408" s="43"/>
      <c r="H408" s="43"/>
      <c r="I408" s="45"/>
    </row>
    <row r="409">
      <c r="A409" s="44" t="s">
        <v>109</v>
      </c>
      <c r="B409" s="46" t="s">
        <v>4</v>
      </c>
      <c r="C409" s="46" t="s">
        <v>5</v>
      </c>
      <c r="D409" s="46" t="s">
        <v>6</v>
      </c>
      <c r="E409" s="46" t="s">
        <v>7</v>
      </c>
      <c r="F409" s="46" t="s">
        <v>8</v>
      </c>
      <c r="G409" s="46"/>
      <c r="H409" s="46"/>
      <c r="I409" s="47"/>
      <c r="J409" s="46"/>
    </row>
    <row r="410">
      <c r="A410" s="48">
        <v>1.0</v>
      </c>
      <c r="B410" s="49">
        <v>2.0</v>
      </c>
      <c r="C410" s="34">
        <v>277.0</v>
      </c>
      <c r="D410" s="27">
        <v>0.0</v>
      </c>
      <c r="E410" s="27">
        <v>56.0</v>
      </c>
      <c r="F410" s="50">
        <v>22.0</v>
      </c>
      <c r="G410" s="51">
        <f t="shared" ref="G410:G419" si="147">(B410*0.5 + C410/100*0.2 + (51 - F410)/5*0.3)/10</f>
        <v>0.3294</v>
      </c>
      <c r="H410" s="52">
        <f t="shared" ref="H410:H419" si="148">(D410*0.5 + E410/100*0.2 + (51 - F410)/5*0.3)/10</f>
        <v>0.1852</v>
      </c>
      <c r="I410" s="53">
        <f t="shared" ref="I410:I420" si="149">AVERAGE(G410,H410)</f>
        <v>0.2573</v>
      </c>
      <c r="J410" s="1" t="s">
        <v>15</v>
      </c>
    </row>
    <row r="411">
      <c r="A411" s="48">
        <v>2.0</v>
      </c>
      <c r="B411" s="54">
        <v>3.0</v>
      </c>
      <c r="C411" s="35">
        <v>215.0</v>
      </c>
      <c r="D411" s="27">
        <v>0.0</v>
      </c>
      <c r="E411" s="27">
        <v>85.0</v>
      </c>
      <c r="F411" s="55">
        <v>24.0</v>
      </c>
      <c r="G411" s="51">
        <f t="shared" si="147"/>
        <v>0.355</v>
      </c>
      <c r="H411" s="52">
        <f t="shared" si="148"/>
        <v>0.179</v>
      </c>
      <c r="I411" s="58">
        <f t="shared" si="149"/>
        <v>0.267</v>
      </c>
      <c r="J411" s="6">
        <f>B420/10</f>
        <v>1.5</v>
      </c>
    </row>
    <row r="412">
      <c r="A412" s="48">
        <v>3.0</v>
      </c>
      <c r="B412" s="54">
        <v>2.0</v>
      </c>
      <c r="C412" s="36">
        <v>389.0</v>
      </c>
      <c r="D412" s="27">
        <v>0.0</v>
      </c>
      <c r="E412" s="27">
        <v>72.0</v>
      </c>
      <c r="F412" s="59">
        <v>6.0</v>
      </c>
      <c r="G412" s="51">
        <f t="shared" si="147"/>
        <v>0.4478</v>
      </c>
      <c r="H412" s="52">
        <f t="shared" si="148"/>
        <v>0.2844</v>
      </c>
      <c r="I412" s="62">
        <f t="shared" si="149"/>
        <v>0.3661</v>
      </c>
      <c r="J412" s="1" t="s">
        <v>19</v>
      </c>
    </row>
    <row r="413">
      <c r="A413" s="48">
        <v>4.0</v>
      </c>
      <c r="B413" s="49">
        <v>0.0</v>
      </c>
      <c r="C413" s="34">
        <v>81.0</v>
      </c>
      <c r="D413" s="27">
        <v>2.0</v>
      </c>
      <c r="E413" s="27">
        <v>177.0</v>
      </c>
      <c r="F413" s="50">
        <v>5.0</v>
      </c>
      <c r="G413" s="51">
        <f t="shared" si="147"/>
        <v>0.2922</v>
      </c>
      <c r="H413" s="52">
        <f t="shared" si="148"/>
        <v>0.4114</v>
      </c>
      <c r="I413" s="67">
        <f t="shared" si="149"/>
        <v>0.3518</v>
      </c>
      <c r="J413" s="6">
        <f>D420/10</f>
        <v>0.5</v>
      </c>
    </row>
    <row r="414">
      <c r="A414" s="48">
        <v>5.0</v>
      </c>
      <c r="B414" s="54">
        <v>3.0</v>
      </c>
      <c r="C414" s="35">
        <v>319.0</v>
      </c>
      <c r="D414" s="27">
        <v>0.0</v>
      </c>
      <c r="E414" s="27">
        <v>0.0</v>
      </c>
      <c r="F414" s="55">
        <v>19.0</v>
      </c>
      <c r="G414" s="51">
        <f t="shared" si="147"/>
        <v>0.4058</v>
      </c>
      <c r="H414" s="52">
        <f t="shared" si="148"/>
        <v>0.192</v>
      </c>
      <c r="I414" s="72">
        <f t="shared" si="149"/>
        <v>0.2989</v>
      </c>
      <c r="J414" s="7" t="s">
        <v>23</v>
      </c>
    </row>
    <row r="415">
      <c r="A415" s="48">
        <v>6.0</v>
      </c>
      <c r="B415" s="54">
        <v>3.0</v>
      </c>
      <c r="C415" s="36">
        <v>478.0</v>
      </c>
      <c r="D415" s="27">
        <v>1.0</v>
      </c>
      <c r="E415" s="27">
        <v>63.0</v>
      </c>
      <c r="F415" s="59">
        <v>6.0</v>
      </c>
      <c r="G415" s="51">
        <f t="shared" si="147"/>
        <v>0.5156</v>
      </c>
      <c r="H415" s="52">
        <f t="shared" si="148"/>
        <v>0.3326</v>
      </c>
      <c r="I415" s="8">
        <f t="shared" si="149"/>
        <v>0.4241</v>
      </c>
      <c r="J415" s="8">
        <f>J411/J413</f>
        <v>3</v>
      </c>
    </row>
    <row r="416">
      <c r="A416" s="48">
        <v>7.0</v>
      </c>
      <c r="B416" s="68">
        <v>1.0</v>
      </c>
      <c r="C416" s="40">
        <v>100.0</v>
      </c>
      <c r="D416" s="27">
        <v>0.0</v>
      </c>
      <c r="E416" s="27">
        <v>135.0</v>
      </c>
      <c r="F416" s="76">
        <v>24.0</v>
      </c>
      <c r="G416" s="51">
        <f t="shared" si="147"/>
        <v>0.232</v>
      </c>
      <c r="H416" s="52">
        <f t="shared" si="148"/>
        <v>0.189</v>
      </c>
      <c r="I416" s="78">
        <f t="shared" si="149"/>
        <v>0.2105</v>
      </c>
      <c r="J416" s="10" t="s">
        <v>27</v>
      </c>
    </row>
    <row r="417">
      <c r="A417" s="48">
        <v>8.0</v>
      </c>
      <c r="B417" s="63">
        <v>0.0</v>
      </c>
      <c r="C417" s="41">
        <v>100.0</v>
      </c>
      <c r="D417" s="27">
        <v>0.0</v>
      </c>
      <c r="E417" s="27">
        <v>23.0</v>
      </c>
      <c r="F417" s="79">
        <v>9.0</v>
      </c>
      <c r="G417" s="51">
        <f t="shared" si="147"/>
        <v>0.272</v>
      </c>
      <c r="H417" s="52">
        <f t="shared" si="148"/>
        <v>0.2566</v>
      </c>
      <c r="I417" s="13">
        <f t="shared" si="149"/>
        <v>0.2643</v>
      </c>
      <c r="J417" s="13">
        <f>J413/J411</f>
        <v>0.3333333333</v>
      </c>
    </row>
    <row r="418">
      <c r="A418" s="48">
        <v>9.0</v>
      </c>
      <c r="B418" s="82">
        <v>1.0</v>
      </c>
      <c r="C418" s="38">
        <v>324.0</v>
      </c>
      <c r="D418" s="27">
        <v>1.0</v>
      </c>
      <c r="E418" s="27">
        <v>164.0</v>
      </c>
      <c r="F418" s="64">
        <v>20.0</v>
      </c>
      <c r="G418" s="51">
        <f t="shared" si="147"/>
        <v>0.3008</v>
      </c>
      <c r="H418" s="52">
        <f t="shared" si="148"/>
        <v>0.2688</v>
      </c>
      <c r="I418" s="85">
        <f t="shared" si="149"/>
        <v>0.2848</v>
      </c>
      <c r="J418" s="86"/>
    </row>
    <row r="419">
      <c r="A419" s="48">
        <v>10.0</v>
      </c>
      <c r="B419" s="82">
        <v>0.0</v>
      </c>
      <c r="C419" s="42">
        <v>0.0</v>
      </c>
      <c r="D419" s="27">
        <v>1.0</v>
      </c>
      <c r="E419" s="27">
        <v>100.0</v>
      </c>
      <c r="F419" s="87">
        <v>45.0</v>
      </c>
      <c r="G419" s="51">
        <f t="shared" si="147"/>
        <v>0.036</v>
      </c>
      <c r="H419" s="52">
        <f t="shared" si="148"/>
        <v>0.106</v>
      </c>
      <c r="I419" s="90">
        <f t="shared" si="149"/>
        <v>0.071</v>
      </c>
      <c r="J419" s="91"/>
    </row>
    <row r="420">
      <c r="A420" s="43" t="s">
        <v>33</v>
      </c>
      <c r="B420" s="92">
        <f>SUM(B410:B419)</f>
        <v>15</v>
      </c>
      <c r="C420" s="93">
        <f>AVERAGE(C410:C419)</f>
        <v>228.3</v>
      </c>
      <c r="D420" s="93">
        <f>SUM(D410:D419)</f>
        <v>5</v>
      </c>
      <c r="E420" s="93">
        <f t="shared" ref="E420:F420" si="150">AVERAGE(E410:E419)</f>
        <v>87.5</v>
      </c>
      <c r="F420" s="94">
        <f t="shared" si="150"/>
        <v>18</v>
      </c>
      <c r="G420" s="95">
        <f t="shared" ref="G420:H420" si="151">Average(G410:G419)</f>
        <v>0.31866</v>
      </c>
      <c r="H420" s="96">
        <f t="shared" si="151"/>
        <v>0.2405</v>
      </c>
      <c r="I420" s="97">
        <f t="shared" si="149"/>
        <v>0.27958</v>
      </c>
      <c r="J420" s="98"/>
    </row>
    <row r="422">
      <c r="A422" s="43"/>
      <c r="B422" s="43" t="s">
        <v>0</v>
      </c>
      <c r="C422" s="44" t="s">
        <v>110</v>
      </c>
      <c r="D422" s="43" t="s">
        <v>2</v>
      </c>
      <c r="E422" s="43" t="str">
        <f>"Game on " &amp; MATCH(MAX(I424:I433), I424:I433, 0) + ROW(I424) - 1 &amp; ". row"
</f>
        <v>Game on 433. row</v>
      </c>
      <c r="F422" s="43"/>
      <c r="G422" s="43"/>
      <c r="H422" s="43"/>
      <c r="I422" s="45"/>
    </row>
    <row r="423">
      <c r="A423" s="44" t="s">
        <v>111</v>
      </c>
      <c r="B423" s="46" t="s">
        <v>4</v>
      </c>
      <c r="C423" s="46" t="s">
        <v>5</v>
      </c>
      <c r="D423" s="46" t="s">
        <v>6</v>
      </c>
      <c r="E423" s="46" t="s">
        <v>7</v>
      </c>
      <c r="F423" s="46" t="s">
        <v>8</v>
      </c>
      <c r="G423" s="46"/>
      <c r="H423" s="46"/>
      <c r="I423" s="47"/>
      <c r="J423" s="46"/>
    </row>
    <row r="424">
      <c r="A424" s="48">
        <v>1.0</v>
      </c>
      <c r="B424" s="49">
        <v>0.0</v>
      </c>
      <c r="C424" s="34">
        <v>0.0</v>
      </c>
      <c r="D424" s="27">
        <v>0.0</v>
      </c>
      <c r="E424" s="27">
        <v>0.0</v>
      </c>
      <c r="F424" s="50">
        <v>6.0</v>
      </c>
      <c r="G424" s="51">
        <f t="shared" ref="G424:G433" si="152">(B424*0.5 + C424/100*0.2 + (51 - F424)/5*0.3)/10</f>
        <v>0.27</v>
      </c>
      <c r="H424" s="52">
        <f t="shared" ref="H424:H433" si="153">(D424*0.5 + E424/100*0.2 + (51 - F424)/5*0.3)/10</f>
        <v>0.27</v>
      </c>
      <c r="I424" s="53">
        <f t="shared" ref="I424:I434" si="154">AVERAGE(G424,H424)</f>
        <v>0.27</v>
      </c>
      <c r="J424" s="1" t="s">
        <v>15</v>
      </c>
    </row>
    <row r="425">
      <c r="A425" s="48">
        <v>2.0</v>
      </c>
      <c r="B425" s="54">
        <v>1.0</v>
      </c>
      <c r="C425" s="35">
        <v>247.0</v>
      </c>
      <c r="D425" s="27">
        <v>2.0</v>
      </c>
      <c r="E425" s="27">
        <v>112.0</v>
      </c>
      <c r="F425" s="55">
        <v>12.0</v>
      </c>
      <c r="G425" s="51">
        <f t="shared" si="152"/>
        <v>0.3334</v>
      </c>
      <c r="H425" s="52">
        <f t="shared" si="153"/>
        <v>0.3564</v>
      </c>
      <c r="I425" s="58">
        <f t="shared" si="154"/>
        <v>0.3449</v>
      </c>
      <c r="J425" s="6">
        <f>B434/10</f>
        <v>0.6</v>
      </c>
    </row>
    <row r="426">
      <c r="A426" s="48">
        <v>3.0</v>
      </c>
      <c r="B426" s="54">
        <v>1.0</v>
      </c>
      <c r="C426" s="36">
        <v>176.0</v>
      </c>
      <c r="D426" s="27">
        <v>0.0</v>
      </c>
      <c r="E426" s="27">
        <v>106.0</v>
      </c>
      <c r="F426" s="59">
        <v>22.0</v>
      </c>
      <c r="G426" s="51">
        <f t="shared" si="152"/>
        <v>0.2592</v>
      </c>
      <c r="H426" s="52">
        <f t="shared" si="153"/>
        <v>0.1952</v>
      </c>
      <c r="I426" s="62">
        <f t="shared" si="154"/>
        <v>0.2272</v>
      </c>
      <c r="J426" s="1" t="s">
        <v>19</v>
      </c>
    </row>
    <row r="427">
      <c r="A427" s="48">
        <v>4.0</v>
      </c>
      <c r="B427" s="49">
        <v>0.0</v>
      </c>
      <c r="C427" s="34">
        <v>0.0</v>
      </c>
      <c r="D427" s="27">
        <v>0.0</v>
      </c>
      <c r="E427" s="27">
        <v>0.0</v>
      </c>
      <c r="F427" s="50">
        <v>27.0</v>
      </c>
      <c r="G427" s="51">
        <f t="shared" si="152"/>
        <v>0.144</v>
      </c>
      <c r="H427" s="52">
        <f t="shared" si="153"/>
        <v>0.144</v>
      </c>
      <c r="I427" s="67">
        <f t="shared" si="154"/>
        <v>0.144</v>
      </c>
      <c r="J427" s="6">
        <f>D434/10</f>
        <v>0.8</v>
      </c>
    </row>
    <row r="428">
      <c r="A428" s="48">
        <v>5.0</v>
      </c>
      <c r="B428" s="54">
        <v>0.0</v>
      </c>
      <c r="C428" s="35">
        <v>0.0</v>
      </c>
      <c r="D428" s="27">
        <v>0.0</v>
      </c>
      <c r="E428" s="27">
        <v>0.0</v>
      </c>
      <c r="F428" s="55">
        <v>38.0</v>
      </c>
      <c r="G428" s="51">
        <f t="shared" si="152"/>
        <v>0.078</v>
      </c>
      <c r="H428" s="52">
        <f t="shared" si="153"/>
        <v>0.078</v>
      </c>
      <c r="I428" s="72">
        <f t="shared" si="154"/>
        <v>0.078</v>
      </c>
      <c r="J428" s="7" t="s">
        <v>23</v>
      </c>
    </row>
    <row r="429">
      <c r="A429" s="48">
        <v>6.0</v>
      </c>
      <c r="B429" s="54">
        <v>2.0</v>
      </c>
      <c r="C429" s="36">
        <v>340.0</v>
      </c>
      <c r="D429" s="27">
        <v>2.0</v>
      </c>
      <c r="E429" s="27">
        <v>217.0</v>
      </c>
      <c r="F429" s="59">
        <v>26.0</v>
      </c>
      <c r="G429" s="51">
        <f t="shared" si="152"/>
        <v>0.318</v>
      </c>
      <c r="H429" s="52">
        <f t="shared" si="153"/>
        <v>0.2934</v>
      </c>
      <c r="I429" s="8">
        <f t="shared" si="154"/>
        <v>0.3057</v>
      </c>
      <c r="J429" s="8">
        <f>J425/J427</f>
        <v>0.75</v>
      </c>
    </row>
    <row r="430">
      <c r="A430" s="48">
        <v>7.0</v>
      </c>
      <c r="B430" s="68">
        <v>0.0</v>
      </c>
      <c r="C430" s="40">
        <v>158.0</v>
      </c>
      <c r="D430" s="27">
        <v>1.0</v>
      </c>
      <c r="E430" s="27">
        <v>134.0</v>
      </c>
      <c r="F430" s="76">
        <v>10.0</v>
      </c>
      <c r="G430" s="51">
        <f t="shared" si="152"/>
        <v>0.2776</v>
      </c>
      <c r="H430" s="52">
        <f t="shared" si="153"/>
        <v>0.3228</v>
      </c>
      <c r="I430" s="78">
        <f t="shared" si="154"/>
        <v>0.3002</v>
      </c>
      <c r="J430" s="10" t="s">
        <v>27</v>
      </c>
    </row>
    <row r="431">
      <c r="A431" s="48">
        <v>8.0</v>
      </c>
      <c r="B431" s="63">
        <v>0.0</v>
      </c>
      <c r="C431" s="41">
        <v>89.0</v>
      </c>
      <c r="D431" s="27">
        <v>0.0</v>
      </c>
      <c r="E431" s="27">
        <v>0.0</v>
      </c>
      <c r="F431" s="79">
        <v>17.0</v>
      </c>
      <c r="G431" s="51">
        <f t="shared" si="152"/>
        <v>0.2218</v>
      </c>
      <c r="H431" s="52">
        <f t="shared" si="153"/>
        <v>0.204</v>
      </c>
      <c r="I431" s="13">
        <f t="shared" si="154"/>
        <v>0.2129</v>
      </c>
      <c r="J431" s="13">
        <f>J427/J425</f>
        <v>1.333333333</v>
      </c>
    </row>
    <row r="432">
      <c r="A432" s="48">
        <v>9.0</v>
      </c>
      <c r="B432" s="82">
        <v>0.0</v>
      </c>
      <c r="C432" s="38">
        <v>91.0</v>
      </c>
      <c r="D432" s="27">
        <v>1.0</v>
      </c>
      <c r="E432" s="27">
        <v>100.0</v>
      </c>
      <c r="F432" s="64">
        <v>19.0</v>
      </c>
      <c r="G432" s="51">
        <f t="shared" si="152"/>
        <v>0.2102</v>
      </c>
      <c r="H432" s="52">
        <f t="shared" si="153"/>
        <v>0.262</v>
      </c>
      <c r="I432" s="85">
        <f t="shared" si="154"/>
        <v>0.2361</v>
      </c>
      <c r="J432" s="86"/>
    </row>
    <row r="433">
      <c r="A433" s="48">
        <v>10.0</v>
      </c>
      <c r="B433" s="82">
        <v>2.0</v>
      </c>
      <c r="C433" s="42">
        <v>250.0</v>
      </c>
      <c r="D433" s="27">
        <v>2.0</v>
      </c>
      <c r="E433" s="27">
        <v>317.0</v>
      </c>
      <c r="F433" s="87">
        <v>10.0</v>
      </c>
      <c r="G433" s="51">
        <f t="shared" si="152"/>
        <v>0.396</v>
      </c>
      <c r="H433" s="52">
        <f t="shared" si="153"/>
        <v>0.4094</v>
      </c>
      <c r="I433" s="90">
        <f t="shared" si="154"/>
        <v>0.4027</v>
      </c>
      <c r="J433" s="91"/>
    </row>
    <row r="434">
      <c r="A434" s="43" t="s">
        <v>33</v>
      </c>
      <c r="B434" s="92">
        <f>SUM(B424:B433)</f>
        <v>6</v>
      </c>
      <c r="C434" s="93">
        <f>AVERAGE(C424:C433)</f>
        <v>135.1</v>
      </c>
      <c r="D434" s="93">
        <f>SUM(D424:D433)</f>
        <v>8</v>
      </c>
      <c r="E434" s="93">
        <f t="shared" ref="E434:F434" si="155">AVERAGE(E424:E433)</f>
        <v>98.6</v>
      </c>
      <c r="F434" s="94">
        <f t="shared" si="155"/>
        <v>18.7</v>
      </c>
      <c r="G434" s="95">
        <f t="shared" ref="G434:H434" si="156">Average(G424:G433)</f>
        <v>0.25082</v>
      </c>
      <c r="H434" s="96">
        <f t="shared" si="156"/>
        <v>0.25352</v>
      </c>
      <c r="I434" s="97">
        <f t="shared" si="154"/>
        <v>0.25217</v>
      </c>
      <c r="J434" s="98"/>
    </row>
    <row r="436">
      <c r="A436" s="43"/>
      <c r="B436" s="43" t="s">
        <v>0</v>
      </c>
      <c r="C436" s="44" t="s">
        <v>112</v>
      </c>
      <c r="D436" s="43" t="s">
        <v>2</v>
      </c>
      <c r="E436" s="43" t="str">
        <f>"Game on " &amp; MATCH(MAX(I438:I447), I438:I447, 0) + ROW(I438) - 1 &amp; ". row"
</f>
        <v>Game on 438. row</v>
      </c>
      <c r="F436" s="43"/>
      <c r="G436" s="43"/>
      <c r="H436" s="43"/>
      <c r="I436" s="45"/>
    </row>
    <row r="437">
      <c r="A437" s="44" t="s">
        <v>113</v>
      </c>
      <c r="B437" s="46" t="s">
        <v>4</v>
      </c>
      <c r="C437" s="46" t="s">
        <v>5</v>
      </c>
      <c r="D437" s="46" t="s">
        <v>6</v>
      </c>
      <c r="E437" s="46" t="s">
        <v>7</v>
      </c>
      <c r="F437" s="46" t="s">
        <v>8</v>
      </c>
      <c r="G437" s="46"/>
      <c r="H437" s="46"/>
      <c r="I437" s="47"/>
      <c r="J437" s="46"/>
    </row>
    <row r="438">
      <c r="A438" s="48">
        <v>1.0</v>
      </c>
      <c r="B438" s="49">
        <v>3.0</v>
      </c>
      <c r="C438" s="34">
        <v>319.0</v>
      </c>
      <c r="D438" s="27">
        <v>1.0</v>
      </c>
      <c r="E438" s="27">
        <v>103.0</v>
      </c>
      <c r="F438" s="50">
        <v>12.0</v>
      </c>
      <c r="G438" s="51">
        <f t="shared" ref="G438:G447" si="157">(B438*0.5 + C438/100*0.2 + (51 - F438)/5*0.3)/10</f>
        <v>0.4478</v>
      </c>
      <c r="H438" s="52">
        <f t="shared" ref="H438:H447" si="158">(D438*0.5 + E438/100*0.2 + (51 - F438)/5*0.3)/10</f>
        <v>0.3046</v>
      </c>
      <c r="I438" s="53">
        <f t="shared" ref="I438:I448" si="159">AVERAGE(G438,H438)</f>
        <v>0.3762</v>
      </c>
      <c r="J438" s="1" t="s">
        <v>15</v>
      </c>
    </row>
    <row r="439">
      <c r="A439" s="48">
        <v>2.0</v>
      </c>
      <c r="B439" s="54">
        <v>2.0</v>
      </c>
      <c r="C439" s="35">
        <v>280.0</v>
      </c>
      <c r="D439" s="27">
        <v>0.0</v>
      </c>
      <c r="E439" s="27">
        <v>0.0</v>
      </c>
      <c r="F439" s="55">
        <v>28.0</v>
      </c>
      <c r="G439" s="51">
        <f t="shared" si="157"/>
        <v>0.294</v>
      </c>
      <c r="H439" s="52">
        <f t="shared" si="158"/>
        <v>0.138</v>
      </c>
      <c r="I439" s="58">
        <f t="shared" si="159"/>
        <v>0.216</v>
      </c>
      <c r="J439" s="6">
        <f>B448/10</f>
        <v>1.2</v>
      </c>
    </row>
    <row r="440">
      <c r="A440" s="48">
        <v>3.0</v>
      </c>
      <c r="B440" s="54">
        <v>0.0</v>
      </c>
      <c r="C440" s="36">
        <v>0.0</v>
      </c>
      <c r="D440" s="27">
        <v>0.0</v>
      </c>
      <c r="E440" s="27">
        <v>152.0</v>
      </c>
      <c r="F440" s="59">
        <v>40.0</v>
      </c>
      <c r="G440" s="51">
        <f t="shared" si="157"/>
        <v>0.066</v>
      </c>
      <c r="H440" s="52">
        <f t="shared" si="158"/>
        <v>0.0964</v>
      </c>
      <c r="I440" s="62">
        <f t="shared" si="159"/>
        <v>0.0812</v>
      </c>
      <c r="J440" s="1" t="s">
        <v>19</v>
      </c>
    </row>
    <row r="441">
      <c r="A441" s="48">
        <v>4.0</v>
      </c>
      <c r="B441" s="49">
        <v>0.0</v>
      </c>
      <c r="C441" s="34">
        <v>232.0</v>
      </c>
      <c r="D441" s="27">
        <v>0.0</v>
      </c>
      <c r="E441" s="27">
        <v>100.0</v>
      </c>
      <c r="F441" s="50">
        <v>37.0</v>
      </c>
      <c r="G441" s="51">
        <f t="shared" si="157"/>
        <v>0.1304</v>
      </c>
      <c r="H441" s="52">
        <f t="shared" si="158"/>
        <v>0.104</v>
      </c>
      <c r="I441" s="67">
        <f t="shared" si="159"/>
        <v>0.1172</v>
      </c>
      <c r="J441" s="6">
        <f>D448/10</f>
        <v>0.5</v>
      </c>
    </row>
    <row r="442">
      <c r="A442" s="48">
        <v>5.0</v>
      </c>
      <c r="B442" s="54">
        <v>1.0</v>
      </c>
      <c r="C442" s="35">
        <v>139.0</v>
      </c>
      <c r="D442" s="27">
        <v>2.0</v>
      </c>
      <c r="E442" s="27">
        <v>204.0</v>
      </c>
      <c r="F442" s="55">
        <v>21.0</v>
      </c>
      <c r="G442" s="51">
        <f t="shared" si="157"/>
        <v>0.2578</v>
      </c>
      <c r="H442" s="52">
        <f t="shared" si="158"/>
        <v>0.3208</v>
      </c>
      <c r="I442" s="72">
        <f t="shared" si="159"/>
        <v>0.2893</v>
      </c>
      <c r="J442" s="7" t="s">
        <v>23</v>
      </c>
    </row>
    <row r="443">
      <c r="A443" s="48">
        <v>6.0</v>
      </c>
      <c r="B443" s="54">
        <v>1.0</v>
      </c>
      <c r="C443" s="36">
        <v>216.0</v>
      </c>
      <c r="D443" s="27">
        <v>1.0</v>
      </c>
      <c r="E443" s="27">
        <v>271.0</v>
      </c>
      <c r="F443" s="59">
        <v>15.0</v>
      </c>
      <c r="G443" s="51">
        <f t="shared" si="157"/>
        <v>0.3092</v>
      </c>
      <c r="H443" s="52">
        <f t="shared" si="158"/>
        <v>0.3202</v>
      </c>
      <c r="I443" s="8">
        <f t="shared" si="159"/>
        <v>0.3147</v>
      </c>
      <c r="J443" s="8">
        <f>J439/J441</f>
        <v>2.4</v>
      </c>
    </row>
    <row r="444">
      <c r="A444" s="48">
        <v>7.0</v>
      </c>
      <c r="B444" s="68">
        <v>0.0</v>
      </c>
      <c r="C444" s="40">
        <v>158.0</v>
      </c>
      <c r="D444" s="27">
        <v>0.0</v>
      </c>
      <c r="E444" s="27">
        <v>0.0</v>
      </c>
      <c r="F444" s="76">
        <v>25.0</v>
      </c>
      <c r="G444" s="51">
        <f t="shared" si="157"/>
        <v>0.1876</v>
      </c>
      <c r="H444" s="52">
        <f t="shared" si="158"/>
        <v>0.156</v>
      </c>
      <c r="I444" s="78">
        <f t="shared" si="159"/>
        <v>0.1718</v>
      </c>
      <c r="J444" s="10" t="s">
        <v>27</v>
      </c>
    </row>
    <row r="445">
      <c r="A445" s="48">
        <v>8.0</v>
      </c>
      <c r="B445" s="63">
        <v>3.0</v>
      </c>
      <c r="C445" s="41">
        <v>354.0</v>
      </c>
      <c r="D445" s="27">
        <v>1.0</v>
      </c>
      <c r="E445" s="27">
        <v>100.0</v>
      </c>
      <c r="F445" s="79">
        <v>27.0</v>
      </c>
      <c r="G445" s="51">
        <f t="shared" si="157"/>
        <v>0.3648</v>
      </c>
      <c r="H445" s="52">
        <f t="shared" si="158"/>
        <v>0.214</v>
      </c>
      <c r="I445" s="13">
        <f t="shared" si="159"/>
        <v>0.2894</v>
      </c>
      <c r="J445" s="13">
        <f>J441/J439</f>
        <v>0.4166666667</v>
      </c>
    </row>
    <row r="446">
      <c r="A446" s="48">
        <v>9.0</v>
      </c>
      <c r="B446" s="82">
        <v>0.0</v>
      </c>
      <c r="C446" s="38">
        <v>242.0</v>
      </c>
      <c r="D446" s="27">
        <v>0.0</v>
      </c>
      <c r="E446" s="27">
        <v>62.0</v>
      </c>
      <c r="F446" s="64">
        <v>37.0</v>
      </c>
      <c r="G446" s="51">
        <f t="shared" si="157"/>
        <v>0.1324</v>
      </c>
      <c r="H446" s="52">
        <f t="shared" si="158"/>
        <v>0.0964</v>
      </c>
      <c r="I446" s="85">
        <f t="shared" si="159"/>
        <v>0.1144</v>
      </c>
      <c r="J446" s="86"/>
    </row>
    <row r="447">
      <c r="A447" s="48">
        <v>10.0</v>
      </c>
      <c r="B447" s="82">
        <v>2.0</v>
      </c>
      <c r="C447" s="42">
        <v>271.0</v>
      </c>
      <c r="D447" s="27">
        <v>0.0</v>
      </c>
      <c r="E447" s="27">
        <v>183.0</v>
      </c>
      <c r="F447" s="87">
        <v>26.0</v>
      </c>
      <c r="G447" s="51">
        <f t="shared" si="157"/>
        <v>0.3042</v>
      </c>
      <c r="H447" s="52">
        <f t="shared" si="158"/>
        <v>0.1866</v>
      </c>
      <c r="I447" s="90">
        <f t="shared" si="159"/>
        <v>0.2454</v>
      </c>
      <c r="J447" s="91"/>
    </row>
    <row r="448">
      <c r="A448" s="43" t="s">
        <v>33</v>
      </c>
      <c r="B448" s="92">
        <f>SUM(B438:B447)</f>
        <v>12</v>
      </c>
      <c r="C448" s="93">
        <f>AVERAGE(C438:C447)</f>
        <v>221.1</v>
      </c>
      <c r="D448" s="93">
        <f>SUM(D438:D447)</f>
        <v>5</v>
      </c>
      <c r="E448" s="93">
        <f t="shared" ref="E448:F448" si="160">AVERAGE(E438:E447)</f>
        <v>117.5</v>
      </c>
      <c r="F448" s="94">
        <f t="shared" si="160"/>
        <v>26.8</v>
      </c>
      <c r="G448" s="95">
        <f t="shared" ref="G448:H448" si="161">Average(G438:G447)</f>
        <v>0.24942</v>
      </c>
      <c r="H448" s="96">
        <f t="shared" si="161"/>
        <v>0.1937</v>
      </c>
      <c r="I448" s="97">
        <f t="shared" si="159"/>
        <v>0.22156</v>
      </c>
      <c r="J448" s="98"/>
    </row>
    <row r="450">
      <c r="A450" s="43"/>
      <c r="B450" s="43" t="s">
        <v>0</v>
      </c>
      <c r="C450" s="44" t="s">
        <v>114</v>
      </c>
      <c r="D450" s="43" t="s">
        <v>2</v>
      </c>
      <c r="E450" s="43" t="str">
        <f>"Game on " &amp; MATCH(MAX(I452:I461), I452:I461, 0) + ROW(I452) - 1 &amp; ". row"
</f>
        <v>Game on 456. row</v>
      </c>
      <c r="F450" s="43"/>
      <c r="G450" s="43"/>
      <c r="H450" s="43"/>
      <c r="I450" s="45"/>
    </row>
    <row r="451">
      <c r="A451" s="44" t="s">
        <v>115</v>
      </c>
      <c r="B451" s="46" t="s">
        <v>4</v>
      </c>
      <c r="C451" s="46" t="s">
        <v>5</v>
      </c>
      <c r="D451" s="46" t="s">
        <v>6</v>
      </c>
      <c r="E451" s="46" t="s">
        <v>7</v>
      </c>
      <c r="F451" s="46" t="s">
        <v>8</v>
      </c>
      <c r="G451" s="46"/>
      <c r="H451" s="46"/>
      <c r="I451" s="47"/>
      <c r="J451" s="46"/>
    </row>
    <row r="452">
      <c r="A452" s="48">
        <v>1.0</v>
      </c>
      <c r="B452" s="49">
        <v>0.0</v>
      </c>
      <c r="C452" s="34">
        <v>56.0</v>
      </c>
      <c r="D452" s="27">
        <v>1.0</v>
      </c>
      <c r="E452" s="27">
        <v>35.0</v>
      </c>
      <c r="F452" s="50">
        <v>12.0</v>
      </c>
      <c r="G452" s="51">
        <f t="shared" ref="G452:G461" si="162">(B452*0.5 + C452/100*0.2 + (51 - F452)/5*0.3)/10</f>
        <v>0.2452</v>
      </c>
      <c r="H452" s="52">
        <f t="shared" ref="H452:H461" si="163">(D452*0.5 + E452/100*0.2 + (51 - F452)/5*0.3)/10</f>
        <v>0.291</v>
      </c>
      <c r="I452" s="53">
        <f t="shared" ref="I452:I462" si="164">AVERAGE(G452,H452)</f>
        <v>0.2681</v>
      </c>
      <c r="J452" s="1" t="s">
        <v>15</v>
      </c>
    </row>
    <row r="453">
      <c r="A453" s="48">
        <v>2.0</v>
      </c>
      <c r="B453" s="54">
        <v>0.0</v>
      </c>
      <c r="C453" s="35">
        <v>134.0</v>
      </c>
      <c r="D453" s="27">
        <v>0.0</v>
      </c>
      <c r="E453" s="27">
        <v>37.0</v>
      </c>
      <c r="F453" s="55">
        <v>34.0</v>
      </c>
      <c r="G453" s="51">
        <f t="shared" si="162"/>
        <v>0.1288</v>
      </c>
      <c r="H453" s="52">
        <f t="shared" si="163"/>
        <v>0.1094</v>
      </c>
      <c r="I453" s="58">
        <f t="shared" si="164"/>
        <v>0.1191</v>
      </c>
      <c r="J453" s="6">
        <f>B462/10</f>
        <v>0.8</v>
      </c>
    </row>
    <row r="454">
      <c r="A454" s="48">
        <v>3.0</v>
      </c>
      <c r="B454" s="54">
        <v>0.0</v>
      </c>
      <c r="C454" s="36">
        <v>69.0</v>
      </c>
      <c r="D454" s="27">
        <v>0.0</v>
      </c>
      <c r="E454" s="27">
        <v>149.0</v>
      </c>
      <c r="F454" s="59">
        <v>26.0</v>
      </c>
      <c r="G454" s="51">
        <f t="shared" si="162"/>
        <v>0.1638</v>
      </c>
      <c r="H454" s="52">
        <f t="shared" si="163"/>
        <v>0.1798</v>
      </c>
      <c r="I454" s="62">
        <f t="shared" si="164"/>
        <v>0.1718</v>
      </c>
      <c r="J454" s="1" t="s">
        <v>19</v>
      </c>
    </row>
    <row r="455">
      <c r="A455" s="48">
        <v>4.0</v>
      </c>
      <c r="B455" s="49">
        <v>2.0</v>
      </c>
      <c r="C455" s="34">
        <v>402.0</v>
      </c>
      <c r="D455" s="27">
        <v>2.0</v>
      </c>
      <c r="E455" s="27">
        <v>186.0</v>
      </c>
      <c r="F455" s="50">
        <v>11.0</v>
      </c>
      <c r="G455" s="51">
        <f t="shared" si="162"/>
        <v>0.4204</v>
      </c>
      <c r="H455" s="52">
        <f t="shared" si="163"/>
        <v>0.3772</v>
      </c>
      <c r="I455" s="67">
        <f t="shared" si="164"/>
        <v>0.3988</v>
      </c>
      <c r="J455" s="6">
        <f>D462/10</f>
        <v>1.3</v>
      </c>
    </row>
    <row r="456">
      <c r="A456" s="48">
        <v>5.0</v>
      </c>
      <c r="B456" s="54">
        <v>3.0</v>
      </c>
      <c r="C456" s="35">
        <v>301.0</v>
      </c>
      <c r="D456" s="27">
        <v>4.0</v>
      </c>
      <c r="E456" s="27">
        <v>497.0</v>
      </c>
      <c r="F456" s="55">
        <v>12.0</v>
      </c>
      <c r="G456" s="51">
        <f t="shared" si="162"/>
        <v>0.4442</v>
      </c>
      <c r="H456" s="52">
        <f t="shared" si="163"/>
        <v>0.5334</v>
      </c>
      <c r="I456" s="72">
        <f t="shared" si="164"/>
        <v>0.4888</v>
      </c>
      <c r="J456" s="7" t="s">
        <v>23</v>
      </c>
    </row>
    <row r="457">
      <c r="A457" s="48">
        <v>6.0</v>
      </c>
      <c r="B457" s="54">
        <v>2.0</v>
      </c>
      <c r="C457" s="36">
        <v>298.0</v>
      </c>
      <c r="D457" s="27">
        <v>3.0</v>
      </c>
      <c r="E457" s="27">
        <v>432.0</v>
      </c>
      <c r="F457" s="59">
        <v>5.0</v>
      </c>
      <c r="G457" s="51">
        <f t="shared" si="162"/>
        <v>0.4356</v>
      </c>
      <c r="H457" s="52">
        <f t="shared" si="163"/>
        <v>0.5124</v>
      </c>
      <c r="I457" s="8">
        <f t="shared" si="164"/>
        <v>0.474</v>
      </c>
      <c r="J457" s="8">
        <f>J453/J455</f>
        <v>0.6153846154</v>
      </c>
    </row>
    <row r="458">
      <c r="A458" s="48">
        <v>7.0</v>
      </c>
      <c r="B458" s="68">
        <v>1.0</v>
      </c>
      <c r="C458" s="40">
        <v>197.0</v>
      </c>
      <c r="D458" s="27">
        <v>1.0</v>
      </c>
      <c r="E458" s="27">
        <v>100.0</v>
      </c>
      <c r="F458" s="76">
        <v>20.0</v>
      </c>
      <c r="G458" s="51">
        <f t="shared" si="162"/>
        <v>0.2754</v>
      </c>
      <c r="H458" s="52">
        <f t="shared" si="163"/>
        <v>0.256</v>
      </c>
      <c r="I458" s="78">
        <f t="shared" si="164"/>
        <v>0.2657</v>
      </c>
      <c r="J458" s="10" t="s">
        <v>27</v>
      </c>
    </row>
    <row r="459">
      <c r="A459" s="48">
        <v>8.0</v>
      </c>
      <c r="B459" s="63">
        <v>0.0</v>
      </c>
      <c r="C459" s="41">
        <v>0.0</v>
      </c>
      <c r="D459" s="27">
        <v>1.0</v>
      </c>
      <c r="E459" s="27">
        <v>137.0</v>
      </c>
      <c r="F459" s="79">
        <v>36.0</v>
      </c>
      <c r="G459" s="51">
        <f t="shared" si="162"/>
        <v>0.09</v>
      </c>
      <c r="H459" s="52">
        <f t="shared" si="163"/>
        <v>0.1674</v>
      </c>
      <c r="I459" s="13">
        <f t="shared" si="164"/>
        <v>0.1287</v>
      </c>
      <c r="J459" s="13">
        <f>J455/J453</f>
        <v>1.625</v>
      </c>
    </row>
    <row r="460">
      <c r="A460" s="48">
        <v>9.0</v>
      </c>
      <c r="B460" s="82">
        <v>0.0</v>
      </c>
      <c r="C460" s="38">
        <v>48.0</v>
      </c>
      <c r="D460" s="27">
        <v>1.0</v>
      </c>
      <c r="E460" s="27">
        <v>282.0</v>
      </c>
      <c r="F460" s="64">
        <v>29.0</v>
      </c>
      <c r="G460" s="51">
        <f t="shared" si="162"/>
        <v>0.1416</v>
      </c>
      <c r="H460" s="52">
        <f t="shared" si="163"/>
        <v>0.2384</v>
      </c>
      <c r="I460" s="85">
        <f t="shared" si="164"/>
        <v>0.19</v>
      </c>
      <c r="J460" s="86"/>
    </row>
    <row r="461">
      <c r="A461" s="48">
        <v>10.0</v>
      </c>
      <c r="B461" s="82">
        <v>0.0</v>
      </c>
      <c r="C461" s="42">
        <v>163.0</v>
      </c>
      <c r="D461" s="27">
        <v>0.0</v>
      </c>
      <c r="E461" s="27">
        <v>0.0</v>
      </c>
      <c r="F461" s="87">
        <v>33.0</v>
      </c>
      <c r="G461" s="51">
        <f t="shared" si="162"/>
        <v>0.1406</v>
      </c>
      <c r="H461" s="52">
        <f t="shared" si="163"/>
        <v>0.108</v>
      </c>
      <c r="I461" s="90">
        <f t="shared" si="164"/>
        <v>0.1243</v>
      </c>
      <c r="J461" s="91"/>
    </row>
    <row r="462">
      <c r="A462" s="43" t="s">
        <v>33</v>
      </c>
      <c r="B462" s="92">
        <f>SUM(B452:B461)</f>
        <v>8</v>
      </c>
      <c r="C462" s="93">
        <f>AVERAGE(C452:C461)</f>
        <v>166.8</v>
      </c>
      <c r="D462" s="93">
        <f>SUM(D452:D461)</f>
        <v>13</v>
      </c>
      <c r="E462" s="93">
        <f t="shared" ref="E462:F462" si="165">AVERAGE(E452:E461)</f>
        <v>185.5</v>
      </c>
      <c r="F462" s="94">
        <f t="shared" si="165"/>
        <v>21.8</v>
      </c>
      <c r="G462" s="95">
        <f t="shared" ref="G462:H462" si="166">Average(G452:G461)</f>
        <v>0.24856</v>
      </c>
      <c r="H462" s="96">
        <f t="shared" si="166"/>
        <v>0.2773</v>
      </c>
      <c r="I462" s="97">
        <f t="shared" si="164"/>
        <v>0.26293</v>
      </c>
      <c r="J462" s="98"/>
    </row>
    <row r="464">
      <c r="A464" s="43"/>
      <c r="B464" s="43" t="s">
        <v>0</v>
      </c>
      <c r="C464" s="44" t="s">
        <v>116</v>
      </c>
      <c r="D464" s="43" t="s">
        <v>2</v>
      </c>
      <c r="E464" s="43" t="str">
        <f>"Game on " &amp; MATCH(MAX(I466:I475), I466:I475, 0) + ROW(I466) - 1 &amp; ". row"
</f>
        <v>Game on 466. row</v>
      </c>
      <c r="F464" s="43"/>
      <c r="G464" s="43"/>
      <c r="H464" s="43"/>
      <c r="I464" s="45"/>
    </row>
    <row r="465">
      <c r="A465" s="44" t="s">
        <v>117</v>
      </c>
      <c r="B465" s="46" t="s">
        <v>4</v>
      </c>
      <c r="C465" s="46" t="s">
        <v>5</v>
      </c>
      <c r="D465" s="46" t="s">
        <v>6</v>
      </c>
      <c r="E465" s="46" t="s">
        <v>7</v>
      </c>
      <c r="F465" s="46" t="s">
        <v>8</v>
      </c>
      <c r="G465" s="46"/>
      <c r="H465" s="46"/>
      <c r="I465" s="47"/>
      <c r="J465" s="46"/>
    </row>
    <row r="466">
      <c r="A466" s="48">
        <v>1.0</v>
      </c>
      <c r="B466" s="49">
        <v>3.0</v>
      </c>
      <c r="C466" s="34">
        <v>503.0</v>
      </c>
      <c r="D466" s="27">
        <v>1.0</v>
      </c>
      <c r="E466" s="27">
        <v>153.0</v>
      </c>
      <c r="F466" s="50">
        <v>4.0</v>
      </c>
      <c r="G466" s="51">
        <f t="shared" ref="G466:G475" si="167">(B466*0.5 + C466/100*0.2 + (51 - F466)/5*0.3)/10</f>
        <v>0.5326</v>
      </c>
      <c r="H466" s="52">
        <f t="shared" ref="H466:H475" si="168">(D466*0.5 + E466/100*0.2 + (51 - F466)/5*0.3)/10</f>
        <v>0.3626</v>
      </c>
      <c r="I466" s="53">
        <f t="shared" ref="I466:I476" si="169">AVERAGE(G466,H466)</f>
        <v>0.4476</v>
      </c>
      <c r="J466" s="1" t="s">
        <v>15</v>
      </c>
    </row>
    <row r="467">
      <c r="A467" s="48">
        <v>2.0</v>
      </c>
      <c r="B467" s="54">
        <v>1.0</v>
      </c>
      <c r="C467" s="35">
        <v>78.0</v>
      </c>
      <c r="D467" s="27">
        <v>0.0</v>
      </c>
      <c r="E467" s="27">
        <v>121.0</v>
      </c>
      <c r="F467" s="55">
        <v>11.0</v>
      </c>
      <c r="G467" s="51">
        <f t="shared" si="167"/>
        <v>0.3056</v>
      </c>
      <c r="H467" s="52">
        <f t="shared" si="168"/>
        <v>0.2642</v>
      </c>
      <c r="I467" s="58">
        <f t="shared" si="169"/>
        <v>0.2849</v>
      </c>
      <c r="J467" s="6">
        <f>B476/10</f>
        <v>1.5</v>
      </c>
    </row>
    <row r="468">
      <c r="A468" s="48">
        <v>3.0</v>
      </c>
      <c r="B468" s="54">
        <v>6.0</v>
      </c>
      <c r="C468" s="36">
        <v>539.0</v>
      </c>
      <c r="D468" s="27">
        <v>0.0</v>
      </c>
      <c r="E468" s="27">
        <v>129.0</v>
      </c>
      <c r="F468" s="59">
        <v>14.0</v>
      </c>
      <c r="G468" s="51">
        <f t="shared" si="167"/>
        <v>0.6298</v>
      </c>
      <c r="H468" s="52">
        <f t="shared" si="168"/>
        <v>0.2478</v>
      </c>
      <c r="I468" s="62">
        <f t="shared" si="169"/>
        <v>0.4388</v>
      </c>
      <c r="J468" s="1" t="s">
        <v>19</v>
      </c>
    </row>
    <row r="469">
      <c r="A469" s="48">
        <v>4.0</v>
      </c>
      <c r="B469" s="49">
        <v>0.0</v>
      </c>
      <c r="C469" s="34">
        <v>126.0</v>
      </c>
      <c r="D469" s="27">
        <v>0.0</v>
      </c>
      <c r="E469" s="27">
        <v>0.0</v>
      </c>
      <c r="F469" s="50">
        <v>50.0</v>
      </c>
      <c r="G469" s="51">
        <f t="shared" si="167"/>
        <v>0.0312</v>
      </c>
      <c r="H469" s="52">
        <f t="shared" si="168"/>
        <v>0.006</v>
      </c>
      <c r="I469" s="67">
        <f t="shared" si="169"/>
        <v>0.0186</v>
      </c>
      <c r="J469" s="6">
        <f>D476/10</f>
        <v>0.3</v>
      </c>
      <c r="O469" s="1"/>
    </row>
    <row r="470">
      <c r="A470" s="48">
        <v>5.0</v>
      </c>
      <c r="B470" s="54">
        <v>1.0</v>
      </c>
      <c r="C470" s="35">
        <v>122.0</v>
      </c>
      <c r="D470" s="27">
        <v>0.0</v>
      </c>
      <c r="E470" s="27">
        <v>145.0</v>
      </c>
      <c r="F470" s="55">
        <v>19.0</v>
      </c>
      <c r="G470" s="51">
        <f t="shared" si="167"/>
        <v>0.2664</v>
      </c>
      <c r="H470" s="52">
        <f t="shared" si="168"/>
        <v>0.221</v>
      </c>
      <c r="I470" s="72">
        <f t="shared" si="169"/>
        <v>0.2437</v>
      </c>
      <c r="J470" s="7" t="s">
        <v>23</v>
      </c>
    </row>
    <row r="471">
      <c r="A471" s="48">
        <v>6.0</v>
      </c>
      <c r="B471" s="54">
        <v>3.0</v>
      </c>
      <c r="C471" s="36">
        <v>391.0</v>
      </c>
      <c r="D471" s="27">
        <v>1.0</v>
      </c>
      <c r="E471" s="27">
        <v>116.0</v>
      </c>
      <c r="F471" s="59">
        <v>29.0</v>
      </c>
      <c r="G471" s="51">
        <f t="shared" si="167"/>
        <v>0.3602</v>
      </c>
      <c r="H471" s="52">
        <f t="shared" si="168"/>
        <v>0.2052</v>
      </c>
      <c r="I471" s="8">
        <f t="shared" si="169"/>
        <v>0.2827</v>
      </c>
      <c r="J471" s="8">
        <f>J467/J469</f>
        <v>5</v>
      </c>
    </row>
    <row r="472">
      <c r="A472" s="48">
        <v>7.0</v>
      </c>
      <c r="B472" s="68">
        <v>0.0</v>
      </c>
      <c r="C472" s="40">
        <v>193.0</v>
      </c>
      <c r="D472" s="27">
        <v>1.0</v>
      </c>
      <c r="E472" s="27">
        <v>89.0</v>
      </c>
      <c r="F472" s="76">
        <v>15.0</v>
      </c>
      <c r="G472" s="51">
        <f t="shared" si="167"/>
        <v>0.2546</v>
      </c>
      <c r="H472" s="52">
        <f t="shared" si="168"/>
        <v>0.2838</v>
      </c>
      <c r="I472" s="78">
        <f t="shared" si="169"/>
        <v>0.2692</v>
      </c>
      <c r="J472" s="10" t="s">
        <v>27</v>
      </c>
    </row>
    <row r="473">
      <c r="A473" s="48">
        <v>8.0</v>
      </c>
      <c r="B473" s="63">
        <v>0.0</v>
      </c>
      <c r="C473" s="41">
        <v>100.0</v>
      </c>
      <c r="D473" s="27">
        <v>0.0</v>
      </c>
      <c r="E473" s="27">
        <v>0.0</v>
      </c>
      <c r="F473" s="79">
        <v>38.0</v>
      </c>
      <c r="G473" s="51">
        <f t="shared" si="167"/>
        <v>0.098</v>
      </c>
      <c r="H473" s="52">
        <f t="shared" si="168"/>
        <v>0.078</v>
      </c>
      <c r="I473" s="13">
        <f t="shared" si="169"/>
        <v>0.088</v>
      </c>
      <c r="J473" s="13">
        <f>J469/J467</f>
        <v>0.2</v>
      </c>
    </row>
    <row r="474">
      <c r="A474" s="48">
        <v>9.0</v>
      </c>
      <c r="B474" s="82">
        <v>0.0</v>
      </c>
      <c r="C474" s="38">
        <v>0.0</v>
      </c>
      <c r="D474" s="27">
        <v>0.0</v>
      </c>
      <c r="E474" s="27">
        <v>67.0</v>
      </c>
      <c r="F474" s="64">
        <v>36.0</v>
      </c>
      <c r="G474" s="51">
        <f t="shared" si="167"/>
        <v>0.09</v>
      </c>
      <c r="H474" s="52">
        <f t="shared" si="168"/>
        <v>0.1034</v>
      </c>
      <c r="I474" s="85">
        <f t="shared" si="169"/>
        <v>0.0967</v>
      </c>
      <c r="J474" s="86"/>
    </row>
    <row r="475">
      <c r="A475" s="48">
        <v>10.0</v>
      </c>
      <c r="B475" s="82">
        <v>1.0</v>
      </c>
      <c r="C475" s="42">
        <v>138.0</v>
      </c>
      <c r="D475" s="27">
        <v>0.0</v>
      </c>
      <c r="E475" s="27">
        <v>131.0</v>
      </c>
      <c r="F475" s="87">
        <v>25.0</v>
      </c>
      <c r="G475" s="51">
        <f t="shared" si="167"/>
        <v>0.2336</v>
      </c>
      <c r="H475" s="52">
        <f t="shared" si="168"/>
        <v>0.1822</v>
      </c>
      <c r="I475" s="90">
        <f t="shared" si="169"/>
        <v>0.2079</v>
      </c>
      <c r="J475" s="91"/>
    </row>
    <row r="476">
      <c r="A476" s="43" t="s">
        <v>33</v>
      </c>
      <c r="B476" s="92">
        <f>SUM(B466:B475)</f>
        <v>15</v>
      </c>
      <c r="C476" s="93">
        <f>AVERAGE(C466:C475)</f>
        <v>219</v>
      </c>
      <c r="D476" s="93">
        <f>SUM(D466:D475)</f>
        <v>3</v>
      </c>
      <c r="E476" s="93">
        <f t="shared" ref="E476:F476" si="170">AVERAGE(E466:E475)</f>
        <v>95.1</v>
      </c>
      <c r="F476" s="94">
        <f t="shared" si="170"/>
        <v>24.1</v>
      </c>
      <c r="G476" s="95">
        <f t="shared" ref="G476:H476" si="171">Average(G466:G475)</f>
        <v>0.2802</v>
      </c>
      <c r="H476" s="96">
        <f t="shared" si="171"/>
        <v>0.19542</v>
      </c>
      <c r="I476" s="97">
        <f t="shared" si="169"/>
        <v>0.23781</v>
      </c>
      <c r="J476" s="98"/>
    </row>
    <row r="478">
      <c r="A478" s="43"/>
      <c r="B478" s="43" t="s">
        <v>0</v>
      </c>
      <c r="C478" s="44" t="s">
        <v>118</v>
      </c>
      <c r="D478" s="43" t="s">
        <v>2</v>
      </c>
      <c r="E478" s="43" t="str">
        <f>"Game on " &amp; MATCH(MAX(I480:I489), I480:I489, 0) + ROW(I480) - 1 &amp; ". row"
</f>
        <v>Game on 481. row</v>
      </c>
      <c r="F478" s="43"/>
      <c r="G478" s="43"/>
      <c r="H478" s="43"/>
      <c r="I478" s="45"/>
    </row>
    <row r="479">
      <c r="A479" s="44" t="s">
        <v>119</v>
      </c>
      <c r="B479" s="46" t="s">
        <v>4</v>
      </c>
      <c r="C479" s="46" t="s">
        <v>5</v>
      </c>
      <c r="D479" s="46" t="s">
        <v>6</v>
      </c>
      <c r="E479" s="46" t="s">
        <v>7</v>
      </c>
      <c r="F479" s="46" t="s">
        <v>8</v>
      </c>
      <c r="G479" s="46"/>
      <c r="H479" s="46"/>
      <c r="I479" s="47"/>
      <c r="J479" s="46"/>
    </row>
    <row r="480">
      <c r="A480" s="48">
        <v>1.0</v>
      </c>
      <c r="B480" s="49">
        <v>0.0</v>
      </c>
      <c r="C480" s="34">
        <v>141.0</v>
      </c>
      <c r="D480" s="27">
        <v>0.0</v>
      </c>
      <c r="E480" s="27">
        <v>38.0</v>
      </c>
      <c r="F480" s="50">
        <v>15.0</v>
      </c>
      <c r="G480" s="51">
        <f t="shared" ref="G480:G489" si="172">(B480*0.5 + C480/100*0.2 + (51 - F480)/5*0.3)/10</f>
        <v>0.2442</v>
      </c>
      <c r="H480" s="52">
        <f t="shared" ref="H480:H489" si="173">(D480*0.5 + E480/100*0.2 + (51 - F480)/5*0.3)/10</f>
        <v>0.2236</v>
      </c>
      <c r="I480" s="53">
        <f t="shared" ref="I480:I490" si="174">AVERAGE(G480,H480)</f>
        <v>0.2339</v>
      </c>
      <c r="J480" s="1" t="s">
        <v>15</v>
      </c>
    </row>
    <row r="481">
      <c r="A481" s="48">
        <v>2.0</v>
      </c>
      <c r="B481" s="54">
        <v>6.0</v>
      </c>
      <c r="C481" s="35">
        <v>845.0</v>
      </c>
      <c r="D481" s="27">
        <v>1.0</v>
      </c>
      <c r="E481" s="27">
        <v>193.0</v>
      </c>
      <c r="F481" s="55">
        <v>3.0</v>
      </c>
      <c r="G481" s="51">
        <f t="shared" si="172"/>
        <v>0.757</v>
      </c>
      <c r="H481" s="52">
        <f t="shared" si="173"/>
        <v>0.3766</v>
      </c>
      <c r="I481" s="58">
        <f t="shared" si="174"/>
        <v>0.5668</v>
      </c>
      <c r="J481" s="6">
        <f>B490/10</f>
        <v>1</v>
      </c>
    </row>
    <row r="482">
      <c r="A482" s="48">
        <v>3.0</v>
      </c>
      <c r="B482" s="54">
        <v>3.0</v>
      </c>
      <c r="C482" s="36">
        <v>485.0</v>
      </c>
      <c r="D482" s="27">
        <v>0.0</v>
      </c>
      <c r="E482" s="27">
        <v>154.0</v>
      </c>
      <c r="F482" s="59">
        <v>10.0</v>
      </c>
      <c r="G482" s="51">
        <f t="shared" si="172"/>
        <v>0.493</v>
      </c>
      <c r="H482" s="52">
        <f t="shared" si="173"/>
        <v>0.2768</v>
      </c>
      <c r="I482" s="62">
        <f t="shared" si="174"/>
        <v>0.3849</v>
      </c>
      <c r="J482" s="1" t="s">
        <v>19</v>
      </c>
    </row>
    <row r="483">
      <c r="A483" s="48">
        <v>4.0</v>
      </c>
      <c r="B483" s="49">
        <v>0.0</v>
      </c>
      <c r="C483" s="34">
        <v>0.0</v>
      </c>
      <c r="D483" s="27">
        <v>1.0</v>
      </c>
      <c r="E483" s="27">
        <v>100.0</v>
      </c>
      <c r="F483" s="50">
        <v>47.0</v>
      </c>
      <c r="G483" s="51">
        <f t="shared" si="172"/>
        <v>0.024</v>
      </c>
      <c r="H483" s="52">
        <f t="shared" si="173"/>
        <v>0.094</v>
      </c>
      <c r="I483" s="67">
        <f t="shared" si="174"/>
        <v>0.059</v>
      </c>
      <c r="J483" s="6">
        <f>D490/10</f>
        <v>0.8</v>
      </c>
    </row>
    <row r="484">
      <c r="A484" s="48">
        <v>5.0</v>
      </c>
      <c r="B484" s="54">
        <v>0.0</v>
      </c>
      <c r="C484" s="35">
        <v>123.0</v>
      </c>
      <c r="D484" s="27">
        <v>2.0</v>
      </c>
      <c r="E484" s="27">
        <v>358.0</v>
      </c>
      <c r="F484" s="55">
        <v>28.0</v>
      </c>
      <c r="G484" s="51">
        <f t="shared" si="172"/>
        <v>0.1626</v>
      </c>
      <c r="H484" s="52">
        <f t="shared" si="173"/>
        <v>0.3096</v>
      </c>
      <c r="I484" s="72">
        <f t="shared" si="174"/>
        <v>0.2361</v>
      </c>
      <c r="J484" s="7" t="s">
        <v>23</v>
      </c>
    </row>
    <row r="485">
      <c r="A485" s="48">
        <v>6.0</v>
      </c>
      <c r="B485" s="54">
        <v>0.0</v>
      </c>
      <c r="C485" s="36">
        <v>152.0</v>
      </c>
      <c r="D485" s="27">
        <v>0.0</v>
      </c>
      <c r="E485" s="27">
        <v>18.0</v>
      </c>
      <c r="F485" s="59">
        <v>8.0</v>
      </c>
      <c r="G485" s="51">
        <f t="shared" si="172"/>
        <v>0.2884</v>
      </c>
      <c r="H485" s="52">
        <f t="shared" si="173"/>
        <v>0.2616</v>
      </c>
      <c r="I485" s="8">
        <f t="shared" si="174"/>
        <v>0.275</v>
      </c>
      <c r="J485" s="8">
        <f>J481/J483</f>
        <v>1.25</v>
      </c>
    </row>
    <row r="486">
      <c r="A486" s="48">
        <v>7.0</v>
      </c>
      <c r="B486" s="68">
        <v>0.0</v>
      </c>
      <c r="C486" s="40">
        <v>0.0</v>
      </c>
      <c r="D486" s="27">
        <v>0.0</v>
      </c>
      <c r="E486" s="27">
        <v>31.0</v>
      </c>
      <c r="F486" s="76">
        <v>19.0</v>
      </c>
      <c r="G486" s="51">
        <f t="shared" si="172"/>
        <v>0.192</v>
      </c>
      <c r="H486" s="52">
        <f t="shared" si="173"/>
        <v>0.1982</v>
      </c>
      <c r="I486" s="78">
        <f t="shared" si="174"/>
        <v>0.1951</v>
      </c>
      <c r="J486" s="10" t="s">
        <v>27</v>
      </c>
    </row>
    <row r="487">
      <c r="A487" s="48">
        <v>8.0</v>
      </c>
      <c r="B487" s="63">
        <v>1.0</v>
      </c>
      <c r="C487" s="41">
        <v>75.0</v>
      </c>
      <c r="D487" s="27">
        <v>0.0</v>
      </c>
      <c r="E487" s="27">
        <v>49.0</v>
      </c>
      <c r="F487" s="79">
        <v>38.0</v>
      </c>
      <c r="G487" s="51">
        <f t="shared" si="172"/>
        <v>0.143</v>
      </c>
      <c r="H487" s="52">
        <f t="shared" si="173"/>
        <v>0.0878</v>
      </c>
      <c r="I487" s="13">
        <f t="shared" si="174"/>
        <v>0.1154</v>
      </c>
      <c r="J487" s="13">
        <f>J483/J481</f>
        <v>0.8</v>
      </c>
    </row>
    <row r="488">
      <c r="A488" s="48">
        <v>9.0</v>
      </c>
      <c r="B488" s="82">
        <v>0.0</v>
      </c>
      <c r="C488" s="38">
        <v>285.0</v>
      </c>
      <c r="D488" s="27">
        <v>4.0</v>
      </c>
      <c r="E488" s="27">
        <v>389.0</v>
      </c>
      <c r="F488" s="64">
        <v>4.0</v>
      </c>
      <c r="G488" s="51">
        <f t="shared" si="172"/>
        <v>0.339</v>
      </c>
      <c r="H488" s="52">
        <f t="shared" si="173"/>
        <v>0.5598</v>
      </c>
      <c r="I488" s="85">
        <f t="shared" si="174"/>
        <v>0.4494</v>
      </c>
      <c r="J488" s="86"/>
    </row>
    <row r="489">
      <c r="A489" s="48">
        <v>10.0</v>
      </c>
      <c r="B489" s="82">
        <v>0.0</v>
      </c>
      <c r="C489" s="42">
        <v>200.0</v>
      </c>
      <c r="D489" s="27">
        <v>0.0</v>
      </c>
      <c r="E489" s="27">
        <v>0.0</v>
      </c>
      <c r="F489" s="87">
        <v>29.0</v>
      </c>
      <c r="G489" s="51">
        <f t="shared" si="172"/>
        <v>0.172</v>
      </c>
      <c r="H489" s="52">
        <f t="shared" si="173"/>
        <v>0.132</v>
      </c>
      <c r="I489" s="90">
        <f t="shared" si="174"/>
        <v>0.152</v>
      </c>
      <c r="J489" s="91"/>
    </row>
    <row r="490">
      <c r="A490" s="43" t="s">
        <v>33</v>
      </c>
      <c r="B490" s="92">
        <f>SUM(B480:B489)</f>
        <v>10</v>
      </c>
      <c r="C490" s="93">
        <f>AVERAGE(C480:C489)</f>
        <v>230.6</v>
      </c>
      <c r="D490" s="93">
        <f>SUM(D480:D489)</f>
        <v>8</v>
      </c>
      <c r="E490" s="93">
        <f t="shared" ref="E490:F490" si="175">AVERAGE(E480:E489)</f>
        <v>133</v>
      </c>
      <c r="F490" s="94">
        <f t="shared" si="175"/>
        <v>20.1</v>
      </c>
      <c r="G490" s="95">
        <f t="shared" ref="G490:H490" si="176">Average(G480:G489)</f>
        <v>0.28152</v>
      </c>
      <c r="H490" s="96">
        <f t="shared" si="176"/>
        <v>0.252</v>
      </c>
      <c r="I490" s="97">
        <f t="shared" si="174"/>
        <v>0.26676</v>
      </c>
      <c r="J490" s="98"/>
    </row>
    <row r="492">
      <c r="A492" s="43"/>
      <c r="B492" s="43" t="s">
        <v>0</v>
      </c>
      <c r="C492" s="44" t="s">
        <v>120</v>
      </c>
      <c r="D492" s="43" t="s">
        <v>2</v>
      </c>
      <c r="E492" s="43" t="str">
        <f>"Game on " &amp; MATCH(MAX(I494:I503), I494:I503, 0) + ROW(I494) - 1 &amp; ". row"
</f>
        <v>Game on 496. row</v>
      </c>
      <c r="F492" s="43"/>
      <c r="G492" s="43"/>
      <c r="H492" s="43"/>
      <c r="I492" s="45"/>
    </row>
    <row r="493">
      <c r="A493" s="44" t="s">
        <v>121</v>
      </c>
      <c r="B493" s="46" t="s">
        <v>4</v>
      </c>
      <c r="C493" s="46" t="s">
        <v>5</v>
      </c>
      <c r="D493" s="46" t="s">
        <v>6</v>
      </c>
      <c r="E493" s="46" t="s">
        <v>7</v>
      </c>
      <c r="F493" s="46" t="s">
        <v>8</v>
      </c>
      <c r="G493" s="46"/>
      <c r="H493" s="46"/>
      <c r="I493" s="47"/>
      <c r="J493" s="46"/>
    </row>
    <row r="494">
      <c r="A494" s="48">
        <v>1.0</v>
      </c>
      <c r="B494" s="49">
        <v>0.0</v>
      </c>
      <c r="C494" s="34">
        <v>211.0</v>
      </c>
      <c r="D494" s="27">
        <v>0.0</v>
      </c>
      <c r="E494" s="27">
        <v>23.0</v>
      </c>
      <c r="F494" s="50">
        <v>36.0</v>
      </c>
      <c r="G494" s="51">
        <f t="shared" ref="G494:G503" si="177">(B494*0.5 + C494/100*0.2 + (51 - F494)/5*0.3)/10</f>
        <v>0.1322</v>
      </c>
      <c r="H494" s="52">
        <f t="shared" ref="H494:H503" si="178">(D494*0.5 + E494/100*0.2 + (51 - F494)/5*0.3)/10</f>
        <v>0.0946</v>
      </c>
      <c r="I494" s="53">
        <f t="shared" ref="I494:I504" si="179">AVERAGE(G494,H494)</f>
        <v>0.1134</v>
      </c>
      <c r="J494" s="1" t="s">
        <v>15</v>
      </c>
    </row>
    <row r="495">
      <c r="A495" s="48">
        <v>2.0</v>
      </c>
      <c r="B495" s="54">
        <v>1.0</v>
      </c>
      <c r="C495" s="35">
        <v>254.0</v>
      </c>
      <c r="D495" s="27">
        <v>2.0</v>
      </c>
      <c r="E495" s="27">
        <v>246.0</v>
      </c>
      <c r="F495" s="55">
        <v>9.0</v>
      </c>
      <c r="G495" s="51">
        <f t="shared" si="177"/>
        <v>0.3528</v>
      </c>
      <c r="H495" s="52">
        <f t="shared" si="178"/>
        <v>0.4012</v>
      </c>
      <c r="I495" s="58">
        <f t="shared" si="179"/>
        <v>0.377</v>
      </c>
      <c r="J495" s="6">
        <f>B504/10</f>
        <v>1.3</v>
      </c>
    </row>
    <row r="496">
      <c r="A496" s="48">
        <v>3.0</v>
      </c>
      <c r="B496" s="54">
        <v>6.0</v>
      </c>
      <c r="C496" s="36">
        <v>639.0</v>
      </c>
      <c r="D496" s="27">
        <v>3.0</v>
      </c>
      <c r="E496" s="27">
        <v>553.0</v>
      </c>
      <c r="F496" s="59">
        <v>3.0</v>
      </c>
      <c r="G496" s="51">
        <f t="shared" si="177"/>
        <v>0.7158</v>
      </c>
      <c r="H496" s="52">
        <f t="shared" si="178"/>
        <v>0.5486</v>
      </c>
      <c r="I496" s="62">
        <f t="shared" si="179"/>
        <v>0.6322</v>
      </c>
      <c r="J496" s="1" t="s">
        <v>19</v>
      </c>
    </row>
    <row r="497">
      <c r="A497" s="48">
        <v>4.0</v>
      </c>
      <c r="B497" s="49">
        <v>1.0</v>
      </c>
      <c r="C497" s="34">
        <v>391.0</v>
      </c>
      <c r="D497" s="27">
        <v>2.0</v>
      </c>
      <c r="E497" s="27">
        <v>486.0</v>
      </c>
      <c r="F497" s="50">
        <v>2.0</v>
      </c>
      <c r="G497" s="51">
        <f t="shared" si="177"/>
        <v>0.4222</v>
      </c>
      <c r="H497" s="52">
        <f t="shared" si="178"/>
        <v>0.4912</v>
      </c>
      <c r="I497" s="67">
        <f t="shared" si="179"/>
        <v>0.4567</v>
      </c>
      <c r="J497" s="6">
        <f>D504/10</f>
        <v>1.1</v>
      </c>
    </row>
    <row r="498">
      <c r="A498" s="48">
        <v>5.0</v>
      </c>
      <c r="B498" s="54">
        <v>2.0</v>
      </c>
      <c r="C498" s="35">
        <v>656.0</v>
      </c>
      <c r="D498" s="27">
        <v>2.0</v>
      </c>
      <c r="E498" s="27">
        <v>268.0</v>
      </c>
      <c r="F498" s="55">
        <v>14.0</v>
      </c>
      <c r="G498" s="51">
        <f t="shared" si="177"/>
        <v>0.4532</v>
      </c>
      <c r="H498" s="52">
        <f t="shared" si="178"/>
        <v>0.3756</v>
      </c>
      <c r="I498" s="72">
        <f t="shared" si="179"/>
        <v>0.4144</v>
      </c>
      <c r="J498" s="7" t="s">
        <v>23</v>
      </c>
    </row>
    <row r="499">
      <c r="A499" s="48">
        <v>6.0</v>
      </c>
      <c r="B499" s="54">
        <v>0.0</v>
      </c>
      <c r="C499" s="36">
        <v>271.0</v>
      </c>
      <c r="D499" s="27">
        <v>1.0</v>
      </c>
      <c r="E499" s="27">
        <v>327.0</v>
      </c>
      <c r="F499" s="59">
        <v>17.0</v>
      </c>
      <c r="G499" s="51">
        <f t="shared" si="177"/>
        <v>0.2582</v>
      </c>
      <c r="H499" s="52">
        <f t="shared" si="178"/>
        <v>0.3194</v>
      </c>
      <c r="I499" s="8">
        <f t="shared" si="179"/>
        <v>0.2888</v>
      </c>
      <c r="J499" s="8">
        <f>J495/J497</f>
        <v>1.181818182</v>
      </c>
    </row>
    <row r="500">
      <c r="A500" s="48">
        <v>7.0</v>
      </c>
      <c r="B500" s="68">
        <v>2.0</v>
      </c>
      <c r="C500" s="40">
        <v>288.0</v>
      </c>
      <c r="D500" s="27">
        <v>0.0</v>
      </c>
      <c r="E500" s="27">
        <v>246.0</v>
      </c>
      <c r="F500" s="76">
        <v>24.0</v>
      </c>
      <c r="G500" s="51">
        <f t="shared" si="177"/>
        <v>0.3196</v>
      </c>
      <c r="H500" s="52">
        <f t="shared" si="178"/>
        <v>0.2112</v>
      </c>
      <c r="I500" s="78">
        <f t="shared" si="179"/>
        <v>0.2654</v>
      </c>
      <c r="J500" s="10" t="s">
        <v>27</v>
      </c>
    </row>
    <row r="501">
      <c r="A501" s="48">
        <v>8.0</v>
      </c>
      <c r="B501" s="63">
        <v>1.0</v>
      </c>
      <c r="C501" s="41">
        <v>191.0</v>
      </c>
      <c r="D501" s="27">
        <v>0.0</v>
      </c>
      <c r="E501" s="27">
        <v>20.0</v>
      </c>
      <c r="F501" s="79">
        <v>34.0</v>
      </c>
      <c r="G501" s="51">
        <f t="shared" si="177"/>
        <v>0.1902</v>
      </c>
      <c r="H501" s="52">
        <f t="shared" si="178"/>
        <v>0.106</v>
      </c>
      <c r="I501" s="13">
        <f t="shared" si="179"/>
        <v>0.1481</v>
      </c>
      <c r="J501" s="13">
        <f>J497/J495</f>
        <v>0.8461538462</v>
      </c>
    </row>
    <row r="502">
      <c r="A502" s="48">
        <v>9.0</v>
      </c>
      <c r="B502" s="82">
        <v>0.0</v>
      </c>
      <c r="C502" s="38">
        <v>20.0</v>
      </c>
      <c r="D502" s="27">
        <v>0.0</v>
      </c>
      <c r="E502" s="27">
        <v>45.0</v>
      </c>
      <c r="F502" s="64">
        <v>32.0</v>
      </c>
      <c r="G502" s="51">
        <f t="shared" si="177"/>
        <v>0.118</v>
      </c>
      <c r="H502" s="52">
        <f t="shared" si="178"/>
        <v>0.123</v>
      </c>
      <c r="I502" s="85">
        <f t="shared" si="179"/>
        <v>0.1205</v>
      </c>
      <c r="J502" s="86"/>
    </row>
    <row r="503">
      <c r="A503" s="48">
        <v>10.0</v>
      </c>
      <c r="B503" s="82">
        <v>0.0</v>
      </c>
      <c r="C503" s="42">
        <v>145.0</v>
      </c>
      <c r="D503" s="27">
        <v>1.0</v>
      </c>
      <c r="E503" s="27">
        <v>244.0</v>
      </c>
      <c r="F503" s="87">
        <v>23.0</v>
      </c>
      <c r="G503" s="51">
        <f t="shared" si="177"/>
        <v>0.197</v>
      </c>
      <c r="H503" s="52">
        <f t="shared" si="178"/>
        <v>0.2668</v>
      </c>
      <c r="I503" s="90">
        <f t="shared" si="179"/>
        <v>0.2319</v>
      </c>
      <c r="J503" s="91"/>
    </row>
    <row r="504">
      <c r="A504" s="43" t="s">
        <v>33</v>
      </c>
      <c r="B504" s="92">
        <f>SUM(B494:B503)</f>
        <v>13</v>
      </c>
      <c r="C504" s="93">
        <f>AVERAGE(C494:C503)</f>
        <v>306.6</v>
      </c>
      <c r="D504" s="93">
        <f>SUM(D494:D503)</f>
        <v>11</v>
      </c>
      <c r="E504" s="93">
        <f t="shared" ref="E504:F504" si="180">AVERAGE(E494:E503)</f>
        <v>245.8</v>
      </c>
      <c r="F504" s="94">
        <f t="shared" si="180"/>
        <v>19.4</v>
      </c>
      <c r="G504" s="95">
        <f t="shared" ref="G504:H504" si="181">Average(G494:G503)</f>
        <v>0.31592</v>
      </c>
      <c r="H504" s="96">
        <f t="shared" si="181"/>
        <v>0.29376</v>
      </c>
      <c r="I504" s="97">
        <f t="shared" si="179"/>
        <v>0.30484</v>
      </c>
      <c r="J504" s="98"/>
    </row>
    <row r="506">
      <c r="A506" s="43"/>
      <c r="B506" s="43" t="s">
        <v>0</v>
      </c>
      <c r="C506" s="44" t="s">
        <v>122</v>
      </c>
      <c r="D506" s="43" t="s">
        <v>2</v>
      </c>
      <c r="E506" s="43" t="str">
        <f>"Game on " &amp; MATCH(MAX(I508:I517), I508:I517, 0) + ROW(I508) - 1 &amp; ". row"
</f>
        <v>Game on 512. row</v>
      </c>
      <c r="F506" s="43"/>
      <c r="G506" s="43"/>
      <c r="H506" s="43"/>
      <c r="I506" s="45"/>
    </row>
    <row r="507">
      <c r="A507" s="44" t="s">
        <v>123</v>
      </c>
      <c r="B507" s="46" t="s">
        <v>4</v>
      </c>
      <c r="C507" s="46" t="s">
        <v>5</v>
      </c>
      <c r="D507" s="46" t="s">
        <v>6</v>
      </c>
      <c r="E507" s="46" t="s">
        <v>7</v>
      </c>
      <c r="F507" s="46" t="s">
        <v>8</v>
      </c>
      <c r="G507" s="46"/>
      <c r="H507" s="46"/>
      <c r="I507" s="47"/>
      <c r="J507" s="46"/>
    </row>
    <row r="508">
      <c r="A508" s="48">
        <v>1.0</v>
      </c>
      <c r="B508" s="49">
        <v>0.0</v>
      </c>
      <c r="C508" s="34">
        <v>126.0</v>
      </c>
      <c r="D508" s="27">
        <v>2.0</v>
      </c>
      <c r="E508" s="27">
        <v>278.0</v>
      </c>
      <c r="F508" s="50">
        <v>22.0</v>
      </c>
      <c r="G508" s="51">
        <f t="shared" ref="G508:G517" si="182">(B508*0.5 + C508/100*0.2 + (51 - F508)/5*0.3)/10</f>
        <v>0.1992</v>
      </c>
      <c r="H508" s="52">
        <f t="shared" ref="H508:H517" si="183">(D508*0.5 + E508/100*0.2 + (51 - F508)/5*0.3)/10</f>
        <v>0.3296</v>
      </c>
      <c r="I508" s="53">
        <f t="shared" ref="I508:I518" si="184">AVERAGE(G508,H508)</f>
        <v>0.2644</v>
      </c>
      <c r="J508" s="1" t="s">
        <v>15</v>
      </c>
    </row>
    <row r="509">
      <c r="A509" s="48">
        <v>2.0</v>
      </c>
      <c r="B509" s="54">
        <v>3.0</v>
      </c>
      <c r="C509" s="35">
        <v>447.0</v>
      </c>
      <c r="D509" s="27">
        <v>0.0</v>
      </c>
      <c r="E509" s="27">
        <v>33.0</v>
      </c>
      <c r="F509" s="55">
        <v>14.0</v>
      </c>
      <c r="G509" s="51">
        <f t="shared" si="182"/>
        <v>0.4614</v>
      </c>
      <c r="H509" s="52">
        <f t="shared" si="183"/>
        <v>0.2286</v>
      </c>
      <c r="I509" s="58">
        <f t="shared" si="184"/>
        <v>0.345</v>
      </c>
      <c r="J509" s="6">
        <f>B518/10</f>
        <v>1.6</v>
      </c>
    </row>
    <row r="510">
      <c r="A510" s="48">
        <v>3.0</v>
      </c>
      <c r="B510" s="54">
        <v>3.0</v>
      </c>
      <c r="C510" s="36">
        <v>587.0</v>
      </c>
      <c r="D510" s="27">
        <v>0.0</v>
      </c>
      <c r="E510" s="27">
        <v>308.0</v>
      </c>
      <c r="F510" s="59">
        <v>2.0</v>
      </c>
      <c r="G510" s="51">
        <f t="shared" si="182"/>
        <v>0.5614</v>
      </c>
      <c r="H510" s="52">
        <f t="shared" si="183"/>
        <v>0.3556</v>
      </c>
      <c r="I510" s="62">
        <f t="shared" si="184"/>
        <v>0.4585</v>
      </c>
      <c r="J510" s="1" t="s">
        <v>19</v>
      </c>
    </row>
    <row r="511">
      <c r="A511" s="48">
        <v>4.0</v>
      </c>
      <c r="B511" s="49">
        <v>0.0</v>
      </c>
      <c r="C511" s="34">
        <v>151.0</v>
      </c>
      <c r="D511" s="27">
        <v>2.0</v>
      </c>
      <c r="E511" s="27">
        <v>295.0</v>
      </c>
      <c r="F511" s="50">
        <v>25.0</v>
      </c>
      <c r="G511" s="51">
        <f t="shared" si="182"/>
        <v>0.1862</v>
      </c>
      <c r="H511" s="52">
        <f t="shared" si="183"/>
        <v>0.315</v>
      </c>
      <c r="I511" s="67">
        <f t="shared" si="184"/>
        <v>0.2506</v>
      </c>
      <c r="J511" s="6">
        <f>D518/10</f>
        <v>1</v>
      </c>
    </row>
    <row r="512">
      <c r="A512" s="48">
        <v>5.0</v>
      </c>
      <c r="B512" s="54">
        <v>5.0</v>
      </c>
      <c r="C512" s="35">
        <v>847.0</v>
      </c>
      <c r="D512" s="27">
        <v>1.0</v>
      </c>
      <c r="E512" s="27">
        <v>344.0</v>
      </c>
      <c r="F512" s="55">
        <v>2.0</v>
      </c>
      <c r="G512" s="51">
        <f t="shared" si="182"/>
        <v>0.7134</v>
      </c>
      <c r="H512" s="52">
        <f t="shared" si="183"/>
        <v>0.4128</v>
      </c>
      <c r="I512" s="72">
        <f t="shared" si="184"/>
        <v>0.5631</v>
      </c>
      <c r="J512" s="7" t="s">
        <v>23</v>
      </c>
    </row>
    <row r="513">
      <c r="A513" s="48">
        <v>6.0</v>
      </c>
      <c r="B513" s="54">
        <v>1.0</v>
      </c>
      <c r="C513" s="36">
        <v>131.0</v>
      </c>
      <c r="D513" s="27">
        <v>0.0</v>
      </c>
      <c r="E513" s="27">
        <v>80.0</v>
      </c>
      <c r="F513" s="59">
        <v>32.0</v>
      </c>
      <c r="G513" s="51">
        <f t="shared" si="182"/>
        <v>0.1902</v>
      </c>
      <c r="H513" s="52">
        <f t="shared" si="183"/>
        <v>0.13</v>
      </c>
      <c r="I513" s="8">
        <f t="shared" si="184"/>
        <v>0.1601</v>
      </c>
      <c r="J513" s="8">
        <f>J509/J511</f>
        <v>1.6</v>
      </c>
    </row>
    <row r="514">
      <c r="A514" s="48">
        <v>7.0</v>
      </c>
      <c r="B514" s="68">
        <v>2.0</v>
      </c>
      <c r="C514" s="40">
        <v>244.0</v>
      </c>
      <c r="D514" s="27">
        <v>2.0</v>
      </c>
      <c r="E514" s="27">
        <v>226.0</v>
      </c>
      <c r="F514" s="76">
        <v>17.0</v>
      </c>
      <c r="G514" s="51">
        <f t="shared" si="182"/>
        <v>0.3528</v>
      </c>
      <c r="H514" s="52">
        <f t="shared" si="183"/>
        <v>0.3492</v>
      </c>
      <c r="I514" s="78">
        <f t="shared" si="184"/>
        <v>0.351</v>
      </c>
      <c r="J514" s="10" t="s">
        <v>27</v>
      </c>
    </row>
    <row r="515">
      <c r="A515" s="48">
        <v>8.0</v>
      </c>
      <c r="B515" s="63">
        <v>1.0</v>
      </c>
      <c r="C515" s="41">
        <v>100.0</v>
      </c>
      <c r="D515" s="27">
        <v>1.0</v>
      </c>
      <c r="E515" s="27">
        <v>209.0</v>
      </c>
      <c r="F515" s="79">
        <v>31.0</v>
      </c>
      <c r="G515" s="51">
        <f t="shared" si="182"/>
        <v>0.19</v>
      </c>
      <c r="H515" s="52">
        <f t="shared" si="183"/>
        <v>0.2118</v>
      </c>
      <c r="I515" s="13">
        <f t="shared" si="184"/>
        <v>0.2009</v>
      </c>
      <c r="J515" s="13">
        <f>J511/J509</f>
        <v>0.625</v>
      </c>
    </row>
    <row r="516">
      <c r="A516" s="48">
        <v>9.0</v>
      </c>
      <c r="B516" s="82">
        <v>1.0</v>
      </c>
      <c r="C516" s="38">
        <v>125.0</v>
      </c>
      <c r="D516" s="27">
        <v>2.0</v>
      </c>
      <c r="E516" s="27">
        <v>150.0</v>
      </c>
      <c r="F516" s="64">
        <v>7.0</v>
      </c>
      <c r="G516" s="51">
        <f t="shared" si="182"/>
        <v>0.339</v>
      </c>
      <c r="H516" s="52">
        <f t="shared" si="183"/>
        <v>0.394</v>
      </c>
      <c r="I516" s="85">
        <f t="shared" si="184"/>
        <v>0.3665</v>
      </c>
      <c r="J516" s="86"/>
    </row>
    <row r="517">
      <c r="A517" s="48">
        <v>10.0</v>
      </c>
      <c r="B517" s="82">
        <v>0.0</v>
      </c>
      <c r="C517" s="42">
        <v>31.0</v>
      </c>
      <c r="D517" s="27">
        <v>0.0</v>
      </c>
      <c r="E517" s="27">
        <v>119.0</v>
      </c>
      <c r="F517" s="87">
        <v>15.0</v>
      </c>
      <c r="G517" s="51">
        <f t="shared" si="182"/>
        <v>0.2222</v>
      </c>
      <c r="H517" s="52">
        <f t="shared" si="183"/>
        <v>0.2398</v>
      </c>
      <c r="I517" s="90">
        <f t="shared" si="184"/>
        <v>0.231</v>
      </c>
      <c r="J517" s="91"/>
    </row>
    <row r="518">
      <c r="A518" s="43" t="s">
        <v>33</v>
      </c>
      <c r="B518" s="92">
        <f>SUM(B508:B517)</f>
        <v>16</v>
      </c>
      <c r="C518" s="93">
        <f>AVERAGE(C508:C517)</f>
        <v>278.9</v>
      </c>
      <c r="D518" s="93">
        <f>SUM(D508:D517)</f>
        <v>10</v>
      </c>
      <c r="E518" s="93">
        <f t="shared" ref="E518:F518" si="185">AVERAGE(E508:E517)</f>
        <v>204.2</v>
      </c>
      <c r="F518" s="94">
        <f t="shared" si="185"/>
        <v>16.7</v>
      </c>
      <c r="G518" s="95">
        <f t="shared" ref="G518:H518" si="186">Average(G508:G517)</f>
        <v>0.34158</v>
      </c>
      <c r="H518" s="96">
        <f t="shared" si="186"/>
        <v>0.29664</v>
      </c>
      <c r="I518" s="97">
        <f t="shared" si="184"/>
        <v>0.31911</v>
      </c>
      <c r="J518" s="98"/>
    </row>
    <row r="520">
      <c r="A520" s="43"/>
      <c r="B520" s="43" t="s">
        <v>0</v>
      </c>
      <c r="C520" s="44" t="s">
        <v>124</v>
      </c>
      <c r="D520" s="43" t="s">
        <v>2</v>
      </c>
      <c r="E520" s="43" t="str">
        <f>"Game on " &amp; MATCH(MAX(I522:I531), I522:I531, 0) + ROW(I522) - 1 &amp; ". row"
</f>
        <v>Game on 529. row</v>
      </c>
      <c r="F520" s="43"/>
      <c r="G520" s="43"/>
      <c r="H520" s="43"/>
      <c r="I520" s="45"/>
    </row>
    <row r="521">
      <c r="A521" s="44" t="s">
        <v>125</v>
      </c>
      <c r="B521" s="46" t="s">
        <v>4</v>
      </c>
      <c r="C521" s="46" t="s">
        <v>5</v>
      </c>
      <c r="D521" s="46" t="s">
        <v>6</v>
      </c>
      <c r="E521" s="46" t="s">
        <v>7</v>
      </c>
      <c r="F521" s="46" t="s">
        <v>8</v>
      </c>
      <c r="G521" s="46"/>
      <c r="H521" s="46"/>
      <c r="I521" s="47"/>
      <c r="J521" s="46"/>
    </row>
    <row r="522">
      <c r="A522" s="48">
        <v>1.0</v>
      </c>
      <c r="B522" s="49">
        <v>0.0</v>
      </c>
      <c r="C522" s="34">
        <v>167.0</v>
      </c>
      <c r="D522" s="27">
        <v>0.0</v>
      </c>
      <c r="E522" s="27">
        <v>141.0</v>
      </c>
      <c r="F522" s="50">
        <v>24.0</v>
      </c>
      <c r="G522" s="51">
        <f t="shared" ref="G522:G531" si="187">(B522*0.5 + C522/100*0.2 + (51 - F522)/5*0.3)/10</f>
        <v>0.1954</v>
      </c>
      <c r="H522" s="52">
        <f t="shared" ref="H522:H531" si="188">(D522*0.5 + E522/100*0.2 + (51 - F522)/5*0.3)/10</f>
        <v>0.1902</v>
      </c>
      <c r="I522" s="53">
        <f t="shared" ref="I522:I532" si="189">AVERAGE(G522,H522)</f>
        <v>0.1928</v>
      </c>
      <c r="J522" s="1" t="s">
        <v>15</v>
      </c>
    </row>
    <row r="523">
      <c r="A523" s="48">
        <v>2.0</v>
      </c>
      <c r="B523" s="54">
        <v>1.0</v>
      </c>
      <c r="C523" s="35">
        <v>152.0</v>
      </c>
      <c r="D523" s="27">
        <v>0.0</v>
      </c>
      <c r="E523" s="27">
        <v>89.0</v>
      </c>
      <c r="F523" s="55">
        <v>33.0</v>
      </c>
      <c r="G523" s="51">
        <f t="shared" si="187"/>
        <v>0.1884</v>
      </c>
      <c r="H523" s="52">
        <f t="shared" si="188"/>
        <v>0.1258</v>
      </c>
      <c r="I523" s="58">
        <f t="shared" si="189"/>
        <v>0.1571</v>
      </c>
      <c r="J523" s="6">
        <f>B532/10</f>
        <v>1.1</v>
      </c>
    </row>
    <row r="524">
      <c r="A524" s="48">
        <v>3.0</v>
      </c>
      <c r="B524" s="54">
        <v>3.0</v>
      </c>
      <c r="C524" s="36">
        <v>323.0</v>
      </c>
      <c r="D524" s="27">
        <v>1.0</v>
      </c>
      <c r="E524" s="27">
        <v>100.0</v>
      </c>
      <c r="F524" s="59">
        <v>18.0</v>
      </c>
      <c r="G524" s="51">
        <f t="shared" si="187"/>
        <v>0.4126</v>
      </c>
      <c r="H524" s="52">
        <f t="shared" si="188"/>
        <v>0.268</v>
      </c>
      <c r="I524" s="62">
        <f t="shared" si="189"/>
        <v>0.3403</v>
      </c>
      <c r="J524" s="1" t="s">
        <v>19</v>
      </c>
    </row>
    <row r="525">
      <c r="A525" s="48">
        <v>4.0</v>
      </c>
      <c r="B525" s="49">
        <v>3.0</v>
      </c>
      <c r="C525" s="34">
        <v>507.0</v>
      </c>
      <c r="D525" s="27">
        <v>0.0</v>
      </c>
      <c r="E525" s="27">
        <v>87.0</v>
      </c>
      <c r="F525" s="50">
        <v>16.0</v>
      </c>
      <c r="G525" s="51">
        <f t="shared" si="187"/>
        <v>0.4614</v>
      </c>
      <c r="H525" s="52">
        <f t="shared" si="188"/>
        <v>0.2274</v>
      </c>
      <c r="I525" s="67">
        <f t="shared" si="189"/>
        <v>0.3444</v>
      </c>
      <c r="J525" s="6">
        <f>D532/10</f>
        <v>0.5</v>
      </c>
    </row>
    <row r="526">
      <c r="A526" s="48">
        <v>5.0</v>
      </c>
      <c r="B526" s="54">
        <v>0.0</v>
      </c>
      <c r="C526" s="35">
        <v>0.0</v>
      </c>
      <c r="D526" s="27">
        <v>0.0</v>
      </c>
      <c r="E526" s="27">
        <v>51.0</v>
      </c>
      <c r="F526" s="55">
        <v>34.0</v>
      </c>
      <c r="G526" s="51">
        <f t="shared" si="187"/>
        <v>0.102</v>
      </c>
      <c r="H526" s="52">
        <f t="shared" si="188"/>
        <v>0.1122</v>
      </c>
      <c r="I526" s="72">
        <f t="shared" si="189"/>
        <v>0.1071</v>
      </c>
      <c r="J526" s="7" t="s">
        <v>23</v>
      </c>
    </row>
    <row r="527">
      <c r="A527" s="48">
        <v>6.0</v>
      </c>
      <c r="B527" s="54">
        <v>0.0</v>
      </c>
      <c r="C527" s="36">
        <v>129.0</v>
      </c>
      <c r="D527" s="27">
        <v>0.0</v>
      </c>
      <c r="E527" s="27">
        <v>0.0</v>
      </c>
      <c r="F527" s="59">
        <v>44.0</v>
      </c>
      <c r="G527" s="51">
        <f t="shared" si="187"/>
        <v>0.0678</v>
      </c>
      <c r="H527" s="52">
        <f t="shared" si="188"/>
        <v>0.042</v>
      </c>
      <c r="I527" s="8">
        <f t="shared" si="189"/>
        <v>0.0549</v>
      </c>
      <c r="J527" s="8">
        <f>J523/J525</f>
        <v>2.2</v>
      </c>
    </row>
    <row r="528">
      <c r="A528" s="48">
        <v>7.0</v>
      </c>
      <c r="B528" s="68">
        <v>0.0</v>
      </c>
      <c r="C528" s="40">
        <v>50.0</v>
      </c>
      <c r="D528" s="27">
        <v>1.0</v>
      </c>
      <c r="E528" s="27">
        <v>100.0</v>
      </c>
      <c r="F528" s="76">
        <v>31.0</v>
      </c>
      <c r="G528" s="51">
        <f t="shared" si="187"/>
        <v>0.13</v>
      </c>
      <c r="H528" s="52">
        <f t="shared" si="188"/>
        <v>0.19</v>
      </c>
      <c r="I528" s="78">
        <f t="shared" si="189"/>
        <v>0.16</v>
      </c>
      <c r="J528" s="10" t="s">
        <v>27</v>
      </c>
    </row>
    <row r="529">
      <c r="A529" s="48">
        <v>8.0</v>
      </c>
      <c r="B529" s="63">
        <v>3.0</v>
      </c>
      <c r="C529" s="41">
        <v>314.0</v>
      </c>
      <c r="D529" s="27">
        <v>1.0</v>
      </c>
      <c r="E529" s="27">
        <v>241.0</v>
      </c>
      <c r="F529" s="79">
        <v>18.0</v>
      </c>
      <c r="G529" s="51">
        <f t="shared" si="187"/>
        <v>0.4108</v>
      </c>
      <c r="H529" s="52">
        <f t="shared" si="188"/>
        <v>0.2962</v>
      </c>
      <c r="I529" s="13">
        <f t="shared" si="189"/>
        <v>0.3535</v>
      </c>
      <c r="J529" s="13">
        <f>J525/J523</f>
        <v>0.4545454545</v>
      </c>
    </row>
    <row r="530">
      <c r="A530" s="48">
        <v>9.0</v>
      </c>
      <c r="B530" s="82">
        <v>1.0</v>
      </c>
      <c r="C530" s="38">
        <v>377.0</v>
      </c>
      <c r="D530" s="27">
        <v>0.0</v>
      </c>
      <c r="E530" s="27">
        <v>50.0</v>
      </c>
      <c r="F530" s="64">
        <v>5.0</v>
      </c>
      <c r="G530" s="51">
        <f t="shared" si="187"/>
        <v>0.4014</v>
      </c>
      <c r="H530" s="52">
        <f t="shared" si="188"/>
        <v>0.286</v>
      </c>
      <c r="I530" s="85">
        <f t="shared" si="189"/>
        <v>0.3437</v>
      </c>
      <c r="J530" s="86"/>
    </row>
    <row r="531">
      <c r="A531" s="48">
        <v>10.0</v>
      </c>
      <c r="B531" s="82">
        <v>0.0</v>
      </c>
      <c r="C531" s="42">
        <v>0.0</v>
      </c>
      <c r="D531" s="27">
        <v>2.0</v>
      </c>
      <c r="E531" s="27">
        <v>200.0</v>
      </c>
      <c r="F531" s="87">
        <v>29.0</v>
      </c>
      <c r="G531" s="51">
        <f t="shared" si="187"/>
        <v>0.132</v>
      </c>
      <c r="H531" s="52">
        <f t="shared" si="188"/>
        <v>0.272</v>
      </c>
      <c r="I531" s="90">
        <f t="shared" si="189"/>
        <v>0.202</v>
      </c>
      <c r="J531" s="91"/>
    </row>
    <row r="532">
      <c r="A532" s="43" t="s">
        <v>33</v>
      </c>
      <c r="B532" s="92">
        <f>SUM(B522:B531)</f>
        <v>11</v>
      </c>
      <c r="C532" s="93">
        <f>AVERAGE(C522:C531)</f>
        <v>201.9</v>
      </c>
      <c r="D532" s="93">
        <f>SUM(D522:D531)</f>
        <v>5</v>
      </c>
      <c r="E532" s="93">
        <f t="shared" ref="E532:F532" si="190">AVERAGE(E522:E531)</f>
        <v>105.9</v>
      </c>
      <c r="F532" s="94">
        <f t="shared" si="190"/>
        <v>25.2</v>
      </c>
      <c r="G532" s="95">
        <f t="shared" ref="G532:H532" si="191">Average(G522:G531)</f>
        <v>0.25018</v>
      </c>
      <c r="H532" s="96">
        <f t="shared" si="191"/>
        <v>0.20098</v>
      </c>
      <c r="I532" s="97">
        <f t="shared" si="189"/>
        <v>0.22558</v>
      </c>
      <c r="J532" s="98"/>
    </row>
    <row r="534">
      <c r="A534" s="43"/>
      <c r="B534" s="43" t="s">
        <v>0</v>
      </c>
      <c r="C534" s="44" t="s">
        <v>126</v>
      </c>
      <c r="D534" s="43" t="s">
        <v>2</v>
      </c>
      <c r="E534" s="43" t="str">
        <f>"Game on " &amp; MATCH(MAX(I536:I545), I536:I545, 0) + ROW(I536) - 1 &amp; ". row"
</f>
        <v>Game on 537. row</v>
      </c>
      <c r="F534" s="43"/>
      <c r="G534" s="43"/>
      <c r="H534" s="43"/>
      <c r="I534" s="45"/>
    </row>
    <row r="535">
      <c r="A535" s="44" t="s">
        <v>127</v>
      </c>
      <c r="B535" s="46" t="s">
        <v>4</v>
      </c>
      <c r="C535" s="46" t="s">
        <v>5</v>
      </c>
      <c r="D535" s="46" t="s">
        <v>6</v>
      </c>
      <c r="E535" s="46" t="s">
        <v>7</v>
      </c>
      <c r="F535" s="46" t="s">
        <v>8</v>
      </c>
      <c r="G535" s="46"/>
      <c r="H535" s="46"/>
      <c r="I535" s="47"/>
      <c r="J535" s="46"/>
    </row>
    <row r="536">
      <c r="A536" s="48">
        <v>1.0</v>
      </c>
      <c r="B536" s="49">
        <v>2.0</v>
      </c>
      <c r="C536" s="34">
        <v>214.0</v>
      </c>
      <c r="D536" s="27">
        <v>0.0</v>
      </c>
      <c r="E536" s="27">
        <v>123.0</v>
      </c>
      <c r="F536" s="50">
        <v>11.0</v>
      </c>
      <c r="G536" s="51">
        <f t="shared" ref="G536:G545" si="192">(B536*0.5 + C536/100*0.2 + (51 - F536)/5*0.3)/10</f>
        <v>0.3828</v>
      </c>
      <c r="H536" s="52">
        <f t="shared" ref="H536:H545" si="193">(D536*0.5 + E536/100*0.2 + (51 - F536)/5*0.3)/10</f>
        <v>0.2646</v>
      </c>
      <c r="I536" s="53">
        <f t="shared" ref="I536:I546" si="194">AVERAGE(G536,H536)</f>
        <v>0.3237</v>
      </c>
      <c r="J536" s="1" t="s">
        <v>15</v>
      </c>
    </row>
    <row r="537">
      <c r="A537" s="48">
        <v>2.0</v>
      </c>
      <c r="B537" s="54">
        <v>6.0</v>
      </c>
      <c r="C537" s="35">
        <v>565.0</v>
      </c>
      <c r="D537" s="27">
        <v>2.0</v>
      </c>
      <c r="E537" s="27">
        <v>197.0</v>
      </c>
      <c r="F537" s="55">
        <v>1.0</v>
      </c>
      <c r="G537" s="51">
        <f t="shared" si="192"/>
        <v>0.713</v>
      </c>
      <c r="H537" s="52">
        <f t="shared" si="193"/>
        <v>0.4394</v>
      </c>
      <c r="I537" s="58">
        <f t="shared" si="194"/>
        <v>0.5762</v>
      </c>
      <c r="J537" s="6">
        <f>B546/10</f>
        <v>1.7</v>
      </c>
    </row>
    <row r="538">
      <c r="A538" s="48">
        <v>3.0</v>
      </c>
      <c r="B538" s="54">
        <v>0.0</v>
      </c>
      <c r="C538" s="36">
        <v>164.0</v>
      </c>
      <c r="D538" s="27">
        <v>0.0</v>
      </c>
      <c r="E538" s="27">
        <v>0.0</v>
      </c>
      <c r="F538" s="59">
        <v>34.0</v>
      </c>
      <c r="G538" s="51">
        <f t="shared" si="192"/>
        <v>0.1348</v>
      </c>
      <c r="H538" s="52">
        <f t="shared" si="193"/>
        <v>0.102</v>
      </c>
      <c r="I538" s="62">
        <f t="shared" si="194"/>
        <v>0.1184</v>
      </c>
      <c r="J538" s="1" t="s">
        <v>19</v>
      </c>
    </row>
    <row r="539">
      <c r="A539" s="48">
        <v>4.0</v>
      </c>
      <c r="B539" s="49">
        <v>3.0</v>
      </c>
      <c r="C539" s="34">
        <v>515.0</v>
      </c>
      <c r="D539" s="27">
        <v>1.0</v>
      </c>
      <c r="E539" s="27">
        <v>157.0</v>
      </c>
      <c r="F539" s="50">
        <v>3.0</v>
      </c>
      <c r="G539" s="51">
        <f t="shared" si="192"/>
        <v>0.541</v>
      </c>
      <c r="H539" s="52">
        <f t="shared" si="193"/>
        <v>0.3694</v>
      </c>
      <c r="I539" s="67">
        <f t="shared" si="194"/>
        <v>0.4552</v>
      </c>
      <c r="J539" s="6">
        <f>D546/10</f>
        <v>0.6</v>
      </c>
    </row>
    <row r="540">
      <c r="A540" s="48">
        <v>5.0</v>
      </c>
      <c r="B540" s="54">
        <v>1.0</v>
      </c>
      <c r="C540" s="35">
        <v>125.0</v>
      </c>
      <c r="D540" s="27">
        <v>0.0</v>
      </c>
      <c r="E540" s="27">
        <v>0.0</v>
      </c>
      <c r="F540" s="55">
        <v>33.0</v>
      </c>
      <c r="G540" s="51">
        <f t="shared" si="192"/>
        <v>0.183</v>
      </c>
      <c r="H540" s="52">
        <f t="shared" si="193"/>
        <v>0.108</v>
      </c>
      <c r="I540" s="72">
        <f t="shared" si="194"/>
        <v>0.1455</v>
      </c>
      <c r="J540" s="7" t="s">
        <v>23</v>
      </c>
    </row>
    <row r="541">
      <c r="A541" s="48">
        <v>6.0</v>
      </c>
      <c r="B541" s="54">
        <v>2.0</v>
      </c>
      <c r="C541" s="36">
        <v>207.0</v>
      </c>
      <c r="D541" s="27">
        <v>2.0</v>
      </c>
      <c r="E541" s="27">
        <v>307.0</v>
      </c>
      <c r="F541" s="59">
        <v>25.0</v>
      </c>
      <c r="G541" s="51">
        <f t="shared" si="192"/>
        <v>0.2974</v>
      </c>
      <c r="H541" s="52">
        <f t="shared" si="193"/>
        <v>0.3174</v>
      </c>
      <c r="I541" s="8">
        <f t="shared" si="194"/>
        <v>0.3074</v>
      </c>
      <c r="J541" s="8">
        <f>J537/J539</f>
        <v>2.833333333</v>
      </c>
    </row>
    <row r="542">
      <c r="A542" s="48">
        <v>7.0</v>
      </c>
      <c r="B542" s="68">
        <v>0.0</v>
      </c>
      <c r="C542" s="40">
        <v>0.0</v>
      </c>
      <c r="D542" s="27">
        <v>0.0</v>
      </c>
      <c r="E542" s="27">
        <v>0.0</v>
      </c>
      <c r="F542" s="76">
        <v>43.0</v>
      </c>
      <c r="G542" s="51">
        <f t="shared" si="192"/>
        <v>0.048</v>
      </c>
      <c r="H542" s="52">
        <f t="shared" si="193"/>
        <v>0.048</v>
      </c>
      <c r="I542" s="78">
        <f t="shared" si="194"/>
        <v>0.048</v>
      </c>
      <c r="J542" s="10" t="s">
        <v>27</v>
      </c>
    </row>
    <row r="543">
      <c r="A543" s="48">
        <v>8.0</v>
      </c>
      <c r="B543" s="63">
        <v>0.0</v>
      </c>
      <c r="C543" s="41">
        <v>0.0</v>
      </c>
      <c r="D543" s="27">
        <v>0.0</v>
      </c>
      <c r="E543" s="27">
        <v>0.0</v>
      </c>
      <c r="F543" s="79">
        <v>21.0</v>
      </c>
      <c r="G543" s="51">
        <f t="shared" si="192"/>
        <v>0.18</v>
      </c>
      <c r="H543" s="52">
        <f t="shared" si="193"/>
        <v>0.18</v>
      </c>
      <c r="I543" s="13">
        <f t="shared" si="194"/>
        <v>0.18</v>
      </c>
      <c r="J543" s="13">
        <f>J539/J537</f>
        <v>0.3529411765</v>
      </c>
    </row>
    <row r="544">
      <c r="A544" s="48">
        <v>9.0</v>
      </c>
      <c r="B544" s="82">
        <v>1.0</v>
      </c>
      <c r="C544" s="38">
        <v>146.0</v>
      </c>
      <c r="D544" s="27">
        <v>0.0</v>
      </c>
      <c r="E544" s="27">
        <v>176.0</v>
      </c>
      <c r="F544" s="64">
        <v>31.0</v>
      </c>
      <c r="G544" s="51">
        <f t="shared" si="192"/>
        <v>0.1992</v>
      </c>
      <c r="H544" s="52">
        <f t="shared" si="193"/>
        <v>0.1552</v>
      </c>
      <c r="I544" s="85">
        <f t="shared" si="194"/>
        <v>0.1772</v>
      </c>
      <c r="J544" s="86"/>
    </row>
    <row r="545">
      <c r="A545" s="48">
        <v>10.0</v>
      </c>
      <c r="B545" s="82">
        <v>2.0</v>
      </c>
      <c r="C545" s="42">
        <v>470.0</v>
      </c>
      <c r="D545" s="27">
        <v>1.0</v>
      </c>
      <c r="E545" s="27">
        <v>241.0</v>
      </c>
      <c r="F545" s="87">
        <v>6.0</v>
      </c>
      <c r="G545" s="51">
        <f t="shared" si="192"/>
        <v>0.464</v>
      </c>
      <c r="H545" s="52">
        <f t="shared" si="193"/>
        <v>0.3682</v>
      </c>
      <c r="I545" s="90">
        <f t="shared" si="194"/>
        <v>0.4161</v>
      </c>
      <c r="J545" s="91"/>
    </row>
    <row r="546">
      <c r="A546" s="43" t="s">
        <v>33</v>
      </c>
      <c r="B546" s="92">
        <f>SUM(B536:B545)</f>
        <v>17</v>
      </c>
      <c r="C546" s="93">
        <f>AVERAGE(C536:C545)</f>
        <v>240.6</v>
      </c>
      <c r="D546" s="93">
        <f>SUM(D536:D545)</f>
        <v>6</v>
      </c>
      <c r="E546" s="93">
        <f t="shared" ref="E546:F546" si="195">AVERAGE(E536:E545)</f>
        <v>120.1</v>
      </c>
      <c r="F546" s="94">
        <f t="shared" si="195"/>
        <v>20.8</v>
      </c>
      <c r="G546" s="95">
        <f t="shared" ref="G546:H546" si="196">Average(G536:G545)</f>
        <v>0.31432</v>
      </c>
      <c r="H546" s="96">
        <f t="shared" si="196"/>
        <v>0.23522</v>
      </c>
      <c r="I546" s="97">
        <f t="shared" si="194"/>
        <v>0.27477</v>
      </c>
      <c r="J546" s="98"/>
    </row>
    <row r="548">
      <c r="A548" s="43"/>
      <c r="B548" s="43" t="s">
        <v>0</v>
      </c>
      <c r="C548" s="44" t="s">
        <v>126</v>
      </c>
      <c r="D548" s="43" t="s">
        <v>2</v>
      </c>
      <c r="E548" s="43" t="str">
        <f>"Game on " &amp; MATCH(MAX(I550:I559), I550:I559, 0) + ROW(I550) - 1 &amp; ". row"
</f>
        <v>Game on 556. row</v>
      </c>
      <c r="F548" s="43"/>
      <c r="G548" s="43"/>
      <c r="H548" s="43"/>
      <c r="I548" s="45"/>
    </row>
    <row r="549">
      <c r="A549" s="44" t="s">
        <v>128</v>
      </c>
      <c r="B549" s="46" t="s">
        <v>4</v>
      </c>
      <c r="C549" s="46" t="s">
        <v>5</v>
      </c>
      <c r="D549" s="46" t="s">
        <v>6</v>
      </c>
      <c r="E549" s="46" t="s">
        <v>7</v>
      </c>
      <c r="F549" s="46" t="s">
        <v>8</v>
      </c>
      <c r="G549" s="46"/>
      <c r="H549" s="46"/>
      <c r="I549" s="47"/>
      <c r="J549" s="46"/>
    </row>
    <row r="550">
      <c r="A550" s="48">
        <v>1.0</v>
      </c>
      <c r="B550" s="49">
        <v>0.0</v>
      </c>
      <c r="C550" s="34">
        <v>25.0</v>
      </c>
      <c r="D550" s="27">
        <v>0.0</v>
      </c>
      <c r="E550" s="27">
        <v>29.0</v>
      </c>
      <c r="F550" s="50">
        <v>28.0</v>
      </c>
      <c r="G550" s="51">
        <f t="shared" ref="G550:G559" si="197">(B550*0.5 + C550/100*0.2 + (51 - F550)/5*0.3)/10</f>
        <v>0.143</v>
      </c>
      <c r="H550" s="52">
        <f t="shared" ref="H550:H559" si="198">(D550*0.5 + E550/100*0.2 + (51 - F550)/5*0.3)/10</f>
        <v>0.1438</v>
      </c>
      <c r="I550" s="53">
        <f t="shared" ref="I550:I560" si="199">AVERAGE(G550,H550)</f>
        <v>0.1434</v>
      </c>
      <c r="J550" s="1" t="s">
        <v>15</v>
      </c>
    </row>
    <row r="551">
      <c r="A551" s="48">
        <v>2.0</v>
      </c>
      <c r="B551" s="54">
        <v>0.0</v>
      </c>
      <c r="C551" s="35">
        <v>0.0</v>
      </c>
      <c r="D551" s="27">
        <v>1.0</v>
      </c>
      <c r="E551" s="27">
        <v>256.0</v>
      </c>
      <c r="F551" s="55">
        <v>21.0</v>
      </c>
      <c r="G551" s="51">
        <f t="shared" si="197"/>
        <v>0.18</v>
      </c>
      <c r="H551" s="52">
        <f t="shared" si="198"/>
        <v>0.2812</v>
      </c>
      <c r="I551" s="58">
        <f t="shared" si="199"/>
        <v>0.2306</v>
      </c>
      <c r="J551" s="6">
        <f>B560/10</f>
        <v>1.7</v>
      </c>
    </row>
    <row r="552">
      <c r="A552" s="48">
        <v>3.0</v>
      </c>
      <c r="B552" s="54">
        <v>0.0</v>
      </c>
      <c r="C552" s="36">
        <v>50.0</v>
      </c>
      <c r="D552" s="27">
        <v>0.0</v>
      </c>
      <c r="E552" s="27">
        <v>0.0</v>
      </c>
      <c r="F552" s="59">
        <v>29.0</v>
      </c>
      <c r="G552" s="51">
        <f t="shared" si="197"/>
        <v>0.142</v>
      </c>
      <c r="H552" s="52">
        <f t="shared" si="198"/>
        <v>0.132</v>
      </c>
      <c r="I552" s="62">
        <f t="shared" si="199"/>
        <v>0.137</v>
      </c>
      <c r="J552" s="1" t="s">
        <v>19</v>
      </c>
    </row>
    <row r="553">
      <c r="A553" s="48">
        <v>4.0</v>
      </c>
      <c r="B553" s="49">
        <v>0.0</v>
      </c>
      <c r="C553" s="34">
        <v>31.0</v>
      </c>
      <c r="D553" s="27">
        <v>0.0</v>
      </c>
      <c r="E553" s="27">
        <v>137.0</v>
      </c>
      <c r="F553" s="50">
        <v>37.0</v>
      </c>
      <c r="G553" s="51">
        <f t="shared" si="197"/>
        <v>0.0902</v>
      </c>
      <c r="H553" s="52">
        <f t="shared" si="198"/>
        <v>0.1114</v>
      </c>
      <c r="I553" s="67">
        <f t="shared" si="199"/>
        <v>0.1008</v>
      </c>
      <c r="J553" s="6">
        <f>D560/10</f>
        <v>0.9</v>
      </c>
    </row>
    <row r="554">
      <c r="A554" s="48">
        <v>5.0</v>
      </c>
      <c r="B554" s="54">
        <v>6.0</v>
      </c>
      <c r="C554" s="35">
        <v>495.0</v>
      </c>
      <c r="D554" s="27">
        <v>0.0</v>
      </c>
      <c r="E554" s="27">
        <v>73.0</v>
      </c>
      <c r="F554" s="55">
        <v>1.0</v>
      </c>
      <c r="G554" s="51">
        <f t="shared" si="197"/>
        <v>0.699</v>
      </c>
      <c r="H554" s="52">
        <f t="shared" si="198"/>
        <v>0.3146</v>
      </c>
      <c r="I554" s="72">
        <f t="shared" si="199"/>
        <v>0.5068</v>
      </c>
      <c r="J554" s="7" t="s">
        <v>23</v>
      </c>
    </row>
    <row r="555">
      <c r="A555" s="48">
        <v>6.0</v>
      </c>
      <c r="B555" s="54">
        <v>2.0</v>
      </c>
      <c r="C555" s="36">
        <v>316.0</v>
      </c>
      <c r="D555" s="27">
        <v>1.0</v>
      </c>
      <c r="E555" s="27">
        <v>76.0</v>
      </c>
      <c r="F555" s="59">
        <v>5.0</v>
      </c>
      <c r="G555" s="51">
        <f t="shared" si="197"/>
        <v>0.4392</v>
      </c>
      <c r="H555" s="52">
        <f t="shared" si="198"/>
        <v>0.3412</v>
      </c>
      <c r="I555" s="8">
        <f t="shared" si="199"/>
        <v>0.3902</v>
      </c>
      <c r="J555" s="8">
        <f>J551/J553</f>
        <v>1.888888889</v>
      </c>
    </row>
    <row r="556">
      <c r="A556" s="48">
        <v>7.0</v>
      </c>
      <c r="B556" s="68">
        <v>2.0</v>
      </c>
      <c r="C556" s="40">
        <v>873.0</v>
      </c>
      <c r="D556" s="27">
        <v>5.0</v>
      </c>
      <c r="E556" s="27">
        <v>459.0</v>
      </c>
      <c r="F556" s="76">
        <v>3.0</v>
      </c>
      <c r="G556" s="51">
        <f t="shared" si="197"/>
        <v>0.5626</v>
      </c>
      <c r="H556" s="52">
        <f t="shared" si="198"/>
        <v>0.6298</v>
      </c>
      <c r="I556" s="78">
        <f t="shared" si="199"/>
        <v>0.5962</v>
      </c>
      <c r="J556" s="10" t="s">
        <v>27</v>
      </c>
    </row>
    <row r="557">
      <c r="A557" s="48">
        <v>8.0</v>
      </c>
      <c r="B557" s="63">
        <v>1.0</v>
      </c>
      <c r="C557" s="41">
        <v>174.0</v>
      </c>
      <c r="D557" s="27">
        <v>0.0</v>
      </c>
      <c r="E557" s="27">
        <v>0.0</v>
      </c>
      <c r="F557" s="79">
        <v>35.0</v>
      </c>
      <c r="G557" s="51">
        <f t="shared" si="197"/>
        <v>0.1808</v>
      </c>
      <c r="H557" s="52">
        <f t="shared" si="198"/>
        <v>0.096</v>
      </c>
      <c r="I557" s="13">
        <f t="shared" si="199"/>
        <v>0.1384</v>
      </c>
      <c r="J557" s="13">
        <f>J553/J551</f>
        <v>0.5294117647</v>
      </c>
    </row>
    <row r="558">
      <c r="A558" s="48">
        <v>9.0</v>
      </c>
      <c r="B558" s="82">
        <v>5.0</v>
      </c>
      <c r="C558" s="38">
        <v>424.0</v>
      </c>
      <c r="D558" s="27">
        <v>2.0</v>
      </c>
      <c r="E558" s="27">
        <v>350.0</v>
      </c>
      <c r="F558" s="64">
        <v>1.0</v>
      </c>
      <c r="G558" s="51">
        <f t="shared" si="197"/>
        <v>0.6348</v>
      </c>
      <c r="H558" s="52">
        <f t="shared" si="198"/>
        <v>0.47</v>
      </c>
      <c r="I558" s="85">
        <f t="shared" si="199"/>
        <v>0.5524</v>
      </c>
      <c r="J558" s="86"/>
    </row>
    <row r="559">
      <c r="A559" s="48">
        <v>10.0</v>
      </c>
      <c r="B559" s="49">
        <v>1.0</v>
      </c>
      <c r="C559" s="34">
        <v>100.0</v>
      </c>
      <c r="D559" s="27">
        <v>0.0</v>
      </c>
      <c r="E559" s="27">
        <v>0.0</v>
      </c>
      <c r="F559" s="50">
        <v>25.0</v>
      </c>
      <c r="G559" s="51">
        <f t="shared" si="197"/>
        <v>0.226</v>
      </c>
      <c r="H559" s="52">
        <f t="shared" si="198"/>
        <v>0.156</v>
      </c>
      <c r="I559" s="85">
        <f t="shared" si="199"/>
        <v>0.191</v>
      </c>
      <c r="J559" s="91"/>
    </row>
    <row r="560">
      <c r="A560" s="43" t="s">
        <v>33</v>
      </c>
      <c r="B560" s="92">
        <f>SUM(B550:B559)</f>
        <v>17</v>
      </c>
      <c r="C560" s="93">
        <f>AVERAGE(C550:C559)</f>
        <v>248.8</v>
      </c>
      <c r="D560" s="93">
        <f>SUM(D550:D559)</f>
        <v>9</v>
      </c>
      <c r="E560" s="93">
        <f t="shared" ref="E560:F560" si="200">AVERAGE(E550:E559)</f>
        <v>138</v>
      </c>
      <c r="F560" s="94">
        <f t="shared" si="200"/>
        <v>18.5</v>
      </c>
      <c r="G560" s="95">
        <f t="shared" ref="G560:H560" si="201">Average(G550:G559)</f>
        <v>0.32976</v>
      </c>
      <c r="H560" s="96">
        <f t="shared" si="201"/>
        <v>0.2676</v>
      </c>
      <c r="I560" s="97">
        <f t="shared" si="199"/>
        <v>0.29868</v>
      </c>
      <c r="J560" s="98"/>
    </row>
    <row r="562">
      <c r="A562" s="43"/>
      <c r="B562" s="43" t="s">
        <v>0</v>
      </c>
      <c r="C562" s="44" t="s">
        <v>126</v>
      </c>
      <c r="D562" s="43" t="s">
        <v>2</v>
      </c>
      <c r="E562" s="43" t="str">
        <f>"Game on " &amp; MATCH(MAX(I564:I573), I564:I573, 0) + ROW(I564) - 1 &amp; ". row"
</f>
        <v>Game on 570. row</v>
      </c>
      <c r="F562" s="43"/>
      <c r="G562" s="43"/>
      <c r="H562" s="43"/>
      <c r="I562" s="45"/>
    </row>
    <row r="563">
      <c r="A563" s="44" t="s">
        <v>129</v>
      </c>
      <c r="B563" s="46" t="s">
        <v>4</v>
      </c>
      <c r="C563" s="46" t="s">
        <v>5</v>
      </c>
      <c r="D563" s="46" t="s">
        <v>6</v>
      </c>
      <c r="E563" s="46" t="s">
        <v>7</v>
      </c>
      <c r="F563" s="46" t="s">
        <v>8</v>
      </c>
      <c r="G563" s="46"/>
      <c r="H563" s="46"/>
      <c r="I563" s="47"/>
      <c r="J563" s="46"/>
    </row>
    <row r="564">
      <c r="A564" s="48">
        <v>1.0</v>
      </c>
      <c r="B564" s="49">
        <v>0.0</v>
      </c>
      <c r="C564" s="34">
        <v>47.0</v>
      </c>
      <c r="D564" s="27">
        <v>0.0</v>
      </c>
      <c r="E564" s="27">
        <v>0.0</v>
      </c>
      <c r="F564" s="50">
        <v>28.0</v>
      </c>
      <c r="G564" s="51">
        <f t="shared" ref="G564:G573" si="202">(B564*0.5 + C564/100*0.2 + (51 - F564)/5*0.3)/10</f>
        <v>0.1474</v>
      </c>
      <c r="H564" s="52">
        <f t="shared" ref="H564:H573" si="203">(D564*0.5 + E564/100*0.2 + (51 - F564)/5*0.3)/10</f>
        <v>0.138</v>
      </c>
      <c r="I564" s="53">
        <f t="shared" ref="I564:I574" si="204">AVERAGE(G564,H564)</f>
        <v>0.1427</v>
      </c>
      <c r="J564" s="1" t="s">
        <v>15</v>
      </c>
    </row>
    <row r="565">
      <c r="A565" s="48">
        <v>2.0</v>
      </c>
      <c r="B565" s="54">
        <v>0.0</v>
      </c>
      <c r="C565" s="35">
        <v>165.0</v>
      </c>
      <c r="D565" s="27">
        <v>0.0</v>
      </c>
      <c r="E565" s="27">
        <v>125.0</v>
      </c>
      <c r="F565" s="55">
        <v>25.0</v>
      </c>
      <c r="G565" s="51">
        <f t="shared" si="202"/>
        <v>0.189</v>
      </c>
      <c r="H565" s="52">
        <f t="shared" si="203"/>
        <v>0.181</v>
      </c>
      <c r="I565" s="58">
        <f t="shared" si="204"/>
        <v>0.185</v>
      </c>
      <c r="J565" s="6">
        <f>B574/10</f>
        <v>1.3</v>
      </c>
    </row>
    <row r="566">
      <c r="A566" s="48">
        <v>3.0</v>
      </c>
      <c r="B566" s="54">
        <v>1.0</v>
      </c>
      <c r="C566" s="36">
        <v>78.0</v>
      </c>
      <c r="D566" s="27">
        <v>0.0</v>
      </c>
      <c r="E566" s="27">
        <v>23.0</v>
      </c>
      <c r="F566" s="59">
        <v>16.0</v>
      </c>
      <c r="G566" s="51">
        <f t="shared" si="202"/>
        <v>0.2756</v>
      </c>
      <c r="H566" s="52">
        <f t="shared" si="203"/>
        <v>0.2146</v>
      </c>
      <c r="I566" s="62">
        <f t="shared" si="204"/>
        <v>0.2451</v>
      </c>
      <c r="J566" s="1" t="s">
        <v>19</v>
      </c>
    </row>
    <row r="567">
      <c r="A567" s="48">
        <v>4.0</v>
      </c>
      <c r="B567" s="49">
        <v>3.0</v>
      </c>
      <c r="C567" s="34">
        <v>394.0</v>
      </c>
      <c r="D567" s="27">
        <v>0.0</v>
      </c>
      <c r="E567" s="27">
        <v>100.0</v>
      </c>
      <c r="F567" s="50">
        <v>24.0</v>
      </c>
      <c r="G567" s="51">
        <f t="shared" si="202"/>
        <v>0.3908</v>
      </c>
      <c r="H567" s="52">
        <f t="shared" si="203"/>
        <v>0.182</v>
      </c>
      <c r="I567" s="67">
        <f t="shared" si="204"/>
        <v>0.2864</v>
      </c>
      <c r="J567" s="6">
        <f>D574/10</f>
        <v>0.6</v>
      </c>
    </row>
    <row r="568">
      <c r="A568" s="48">
        <v>5.0</v>
      </c>
      <c r="B568" s="54">
        <v>2.0</v>
      </c>
      <c r="C568" s="35">
        <v>456.0</v>
      </c>
      <c r="D568" s="27">
        <v>1.0</v>
      </c>
      <c r="E568" s="27">
        <v>251.0</v>
      </c>
      <c r="F568" s="55">
        <v>17.0</v>
      </c>
      <c r="G568" s="51">
        <f t="shared" si="202"/>
        <v>0.3952</v>
      </c>
      <c r="H568" s="52">
        <f t="shared" si="203"/>
        <v>0.3042</v>
      </c>
      <c r="I568" s="72">
        <f t="shared" si="204"/>
        <v>0.3497</v>
      </c>
      <c r="J568" s="7" t="s">
        <v>23</v>
      </c>
    </row>
    <row r="569">
      <c r="A569" s="48">
        <v>6.0</v>
      </c>
      <c r="B569" s="54">
        <v>3.0</v>
      </c>
      <c r="C569" s="36">
        <v>300.0</v>
      </c>
      <c r="D569" s="27">
        <v>0.0</v>
      </c>
      <c r="E569" s="27">
        <v>117.0</v>
      </c>
      <c r="F569" s="59">
        <v>26.0</v>
      </c>
      <c r="G569" s="51">
        <f t="shared" si="202"/>
        <v>0.36</v>
      </c>
      <c r="H569" s="52">
        <f t="shared" si="203"/>
        <v>0.1734</v>
      </c>
      <c r="I569" s="8">
        <f t="shared" si="204"/>
        <v>0.2667</v>
      </c>
      <c r="J569" s="8">
        <f>J565/J567</f>
        <v>2.166666667</v>
      </c>
    </row>
    <row r="570">
      <c r="A570" s="48">
        <v>7.0</v>
      </c>
      <c r="B570" s="68">
        <v>0.0</v>
      </c>
      <c r="C570" s="40">
        <v>26.0</v>
      </c>
      <c r="D570" s="27">
        <v>4.0</v>
      </c>
      <c r="E570" s="27">
        <v>467.0</v>
      </c>
      <c r="F570" s="76">
        <v>6.0</v>
      </c>
      <c r="G570" s="51">
        <f t="shared" si="202"/>
        <v>0.2752</v>
      </c>
      <c r="H570" s="52">
        <f t="shared" si="203"/>
        <v>0.5634</v>
      </c>
      <c r="I570" s="78">
        <f t="shared" si="204"/>
        <v>0.4193</v>
      </c>
      <c r="J570" s="10" t="s">
        <v>27</v>
      </c>
    </row>
    <row r="571">
      <c r="A571" s="48">
        <v>8.0</v>
      </c>
      <c r="B571" s="63">
        <v>2.0</v>
      </c>
      <c r="C571" s="41">
        <v>271.0</v>
      </c>
      <c r="D571" s="27">
        <v>0.0</v>
      </c>
      <c r="E571" s="27">
        <v>0.0</v>
      </c>
      <c r="F571" s="79">
        <v>7.0</v>
      </c>
      <c r="G571" s="51">
        <f t="shared" si="202"/>
        <v>0.4182</v>
      </c>
      <c r="H571" s="52">
        <f t="shared" si="203"/>
        <v>0.264</v>
      </c>
      <c r="I571" s="13">
        <f t="shared" si="204"/>
        <v>0.3411</v>
      </c>
      <c r="J571" s="13">
        <f>J567/J565</f>
        <v>0.4615384615</v>
      </c>
    </row>
    <row r="572">
      <c r="A572" s="48">
        <v>9.0</v>
      </c>
      <c r="B572" s="54">
        <v>2.0</v>
      </c>
      <c r="C572" s="35">
        <v>380.0</v>
      </c>
      <c r="D572" s="27">
        <v>1.0</v>
      </c>
      <c r="E572" s="27">
        <v>303.0</v>
      </c>
      <c r="F572" s="55">
        <v>8.0</v>
      </c>
      <c r="G572" s="51">
        <f t="shared" si="202"/>
        <v>0.434</v>
      </c>
      <c r="H572" s="52">
        <f t="shared" si="203"/>
        <v>0.3686</v>
      </c>
      <c r="I572" s="13">
        <f t="shared" si="204"/>
        <v>0.4013</v>
      </c>
      <c r="J572" s="86"/>
    </row>
    <row r="573">
      <c r="A573" s="48">
        <v>10.0</v>
      </c>
      <c r="B573" s="54">
        <v>0.0</v>
      </c>
      <c r="C573" s="36">
        <v>91.0</v>
      </c>
      <c r="D573" s="27">
        <v>0.0</v>
      </c>
      <c r="E573" s="27">
        <v>0.0</v>
      </c>
      <c r="F573" s="59">
        <v>8.0</v>
      </c>
      <c r="G573" s="51">
        <f t="shared" si="202"/>
        <v>0.2762</v>
      </c>
      <c r="H573" s="52">
        <f t="shared" si="203"/>
        <v>0.258</v>
      </c>
      <c r="I573" s="13">
        <f t="shared" si="204"/>
        <v>0.2671</v>
      </c>
      <c r="J573" s="91"/>
    </row>
    <row r="574">
      <c r="A574" s="43" t="s">
        <v>33</v>
      </c>
      <c r="B574" s="92">
        <f>SUM(B564:B573)</f>
        <v>13</v>
      </c>
      <c r="C574" s="93">
        <f>AVERAGE(C564:C573)</f>
        <v>220.8</v>
      </c>
      <c r="D574" s="93">
        <f>SUM(D564:D573)</f>
        <v>6</v>
      </c>
      <c r="E574" s="93">
        <f t="shared" ref="E574:F574" si="205">AVERAGE(E564:E573)</f>
        <v>138.6</v>
      </c>
      <c r="F574" s="94">
        <f t="shared" si="205"/>
        <v>16.5</v>
      </c>
      <c r="G574" s="95">
        <f t="shared" ref="G574:H574" si="206">Average(G564:G573)</f>
        <v>0.31616</v>
      </c>
      <c r="H574" s="96">
        <f t="shared" si="206"/>
        <v>0.26472</v>
      </c>
      <c r="I574" s="97">
        <f t="shared" si="204"/>
        <v>0.29044</v>
      </c>
      <c r="J574" s="98"/>
    </row>
    <row r="576">
      <c r="A576" s="43"/>
      <c r="B576" s="43" t="s">
        <v>0</v>
      </c>
      <c r="C576" s="44" t="s">
        <v>130</v>
      </c>
      <c r="D576" s="43" t="s">
        <v>2</v>
      </c>
      <c r="E576" s="43" t="str">
        <f>"Game on " &amp; MATCH(MAX(I578:I587), I578:I587, 0) + ROW(I578) - 1 &amp; ". row"
</f>
        <v>Game on 582. row</v>
      </c>
      <c r="F576" s="43"/>
      <c r="G576" s="43"/>
      <c r="H576" s="43"/>
      <c r="I576" s="45"/>
    </row>
    <row r="577">
      <c r="A577" s="44" t="s">
        <v>131</v>
      </c>
      <c r="B577" s="46" t="s">
        <v>4</v>
      </c>
      <c r="C577" s="46" t="s">
        <v>5</v>
      </c>
      <c r="D577" s="46" t="s">
        <v>6</v>
      </c>
      <c r="E577" s="46" t="s">
        <v>7</v>
      </c>
      <c r="F577" s="46" t="s">
        <v>8</v>
      </c>
      <c r="G577" s="46"/>
      <c r="H577" s="46"/>
      <c r="I577" s="47"/>
      <c r="J577" s="46"/>
    </row>
    <row r="578">
      <c r="A578" s="48">
        <v>1.0</v>
      </c>
      <c r="B578" s="1">
        <v>0.0</v>
      </c>
      <c r="C578" s="1">
        <v>58.0</v>
      </c>
      <c r="D578" s="1">
        <v>0.0</v>
      </c>
      <c r="E578" s="1">
        <v>46.0</v>
      </c>
      <c r="F578" s="1">
        <v>5.0</v>
      </c>
      <c r="G578" s="51">
        <f t="shared" ref="G578:G587" si="207">(B578*0.5 + C578/100*0.2 + (51 - F578)/5*0.3)/10</f>
        <v>0.2876</v>
      </c>
      <c r="H578" s="52">
        <f t="shared" ref="H578:H587" si="208">(D578*0.5 + E578/100*0.2 + (51 - F578)/5*0.3)/10</f>
        <v>0.2852</v>
      </c>
      <c r="I578" s="53">
        <f t="shared" ref="I578:I588" si="209">AVERAGE(G578,H578)</f>
        <v>0.2864</v>
      </c>
      <c r="J578" s="1" t="s">
        <v>15</v>
      </c>
    </row>
    <row r="579">
      <c r="A579" s="48">
        <v>2.0</v>
      </c>
      <c r="B579" s="1">
        <v>1.0</v>
      </c>
      <c r="C579" s="1">
        <v>96.0</v>
      </c>
      <c r="D579" s="1">
        <v>2.0</v>
      </c>
      <c r="E579" s="1">
        <v>261.0</v>
      </c>
      <c r="F579" s="1">
        <v>15.0</v>
      </c>
      <c r="G579" s="51">
        <f t="shared" si="207"/>
        <v>0.2852</v>
      </c>
      <c r="H579" s="52">
        <f t="shared" si="208"/>
        <v>0.3682</v>
      </c>
      <c r="I579" s="58">
        <f t="shared" si="209"/>
        <v>0.3267</v>
      </c>
      <c r="J579" s="6">
        <f>B588/10</f>
        <v>0.7</v>
      </c>
    </row>
    <row r="580">
      <c r="A580" s="48">
        <v>3.0</v>
      </c>
      <c r="B580" s="1">
        <v>0.0</v>
      </c>
      <c r="C580" s="1">
        <v>0.0</v>
      </c>
      <c r="D580" s="1">
        <v>0.0</v>
      </c>
      <c r="E580" s="1">
        <v>0.0</v>
      </c>
      <c r="F580" s="1">
        <v>21.0</v>
      </c>
      <c r="G580" s="51">
        <f t="shared" si="207"/>
        <v>0.18</v>
      </c>
      <c r="H580" s="52">
        <f t="shared" si="208"/>
        <v>0.18</v>
      </c>
      <c r="I580" s="62">
        <f t="shared" si="209"/>
        <v>0.18</v>
      </c>
      <c r="J580" s="1" t="s">
        <v>19</v>
      </c>
    </row>
    <row r="581">
      <c r="A581" s="48">
        <v>4.0</v>
      </c>
      <c r="B581" s="1">
        <v>0.0</v>
      </c>
      <c r="C581" s="1">
        <v>95.0</v>
      </c>
      <c r="D581" s="1">
        <v>0.0</v>
      </c>
      <c r="E581" s="1">
        <v>77.0</v>
      </c>
      <c r="F581" s="1">
        <v>11.0</v>
      </c>
      <c r="G581" s="51">
        <f t="shared" si="207"/>
        <v>0.259</v>
      </c>
      <c r="H581" s="52">
        <f t="shared" si="208"/>
        <v>0.2554</v>
      </c>
      <c r="I581" s="67">
        <f t="shared" si="209"/>
        <v>0.2572</v>
      </c>
      <c r="J581" s="6">
        <f>D588/10</f>
        <v>0.4</v>
      </c>
    </row>
    <row r="582">
      <c r="A582" s="48">
        <v>5.0</v>
      </c>
      <c r="B582" s="1">
        <v>3.0</v>
      </c>
      <c r="C582" s="1">
        <v>328.0</v>
      </c>
      <c r="D582" s="1">
        <v>1.0</v>
      </c>
      <c r="E582" s="1">
        <v>36.0</v>
      </c>
      <c r="F582" s="1">
        <v>8.0</v>
      </c>
      <c r="G582" s="51">
        <f t="shared" si="207"/>
        <v>0.4736</v>
      </c>
      <c r="H582" s="52">
        <f t="shared" si="208"/>
        <v>0.3152</v>
      </c>
      <c r="I582" s="72">
        <f t="shared" si="209"/>
        <v>0.3944</v>
      </c>
      <c r="J582" s="7" t="s">
        <v>23</v>
      </c>
    </row>
    <row r="583">
      <c r="A583" s="48">
        <v>6.0</v>
      </c>
      <c r="B583" s="1">
        <v>0.0</v>
      </c>
      <c r="C583" s="1">
        <v>0.0</v>
      </c>
      <c r="D583" s="1">
        <v>0.0</v>
      </c>
      <c r="E583" s="1">
        <v>0.0</v>
      </c>
      <c r="F583" s="1">
        <v>47.0</v>
      </c>
      <c r="G583" s="51">
        <f t="shared" si="207"/>
        <v>0.024</v>
      </c>
      <c r="H583" s="52">
        <f t="shared" si="208"/>
        <v>0.024</v>
      </c>
      <c r="I583" s="8">
        <f t="shared" si="209"/>
        <v>0.024</v>
      </c>
      <c r="J583" s="8">
        <f>J579/J581</f>
        <v>1.75</v>
      </c>
    </row>
    <row r="584">
      <c r="A584" s="48">
        <v>7.0</v>
      </c>
      <c r="B584" s="49">
        <v>1.0</v>
      </c>
      <c r="C584" s="34">
        <v>159.0</v>
      </c>
      <c r="D584" s="27">
        <v>0.0</v>
      </c>
      <c r="E584" s="27">
        <v>140.0</v>
      </c>
      <c r="F584" s="50">
        <v>8.0</v>
      </c>
      <c r="G584" s="51">
        <f t="shared" si="207"/>
        <v>0.3398</v>
      </c>
      <c r="H584" s="52">
        <f t="shared" si="208"/>
        <v>0.286</v>
      </c>
      <c r="I584" s="78">
        <f t="shared" si="209"/>
        <v>0.3129</v>
      </c>
      <c r="J584" s="10" t="s">
        <v>27</v>
      </c>
    </row>
    <row r="585">
      <c r="A585" s="48">
        <v>8.0</v>
      </c>
      <c r="B585" s="54">
        <v>0.0</v>
      </c>
      <c r="C585" s="35">
        <v>43.0</v>
      </c>
      <c r="D585" s="27">
        <v>0.0</v>
      </c>
      <c r="E585" s="27">
        <v>102.0</v>
      </c>
      <c r="F585" s="55">
        <v>22.0</v>
      </c>
      <c r="G585" s="51">
        <f t="shared" si="207"/>
        <v>0.1826</v>
      </c>
      <c r="H585" s="52">
        <f t="shared" si="208"/>
        <v>0.1944</v>
      </c>
      <c r="I585" s="13">
        <f t="shared" si="209"/>
        <v>0.1885</v>
      </c>
      <c r="J585" s="13">
        <f>J581/J579</f>
        <v>0.5714285714</v>
      </c>
    </row>
    <row r="586">
      <c r="A586" s="48">
        <v>9.0</v>
      </c>
      <c r="B586" s="54">
        <v>1.0</v>
      </c>
      <c r="C586" s="36">
        <v>115.0</v>
      </c>
      <c r="D586" s="27">
        <v>1.0</v>
      </c>
      <c r="E586" s="27">
        <v>149.0</v>
      </c>
      <c r="F586" s="59">
        <v>31.0</v>
      </c>
      <c r="G586" s="51">
        <f t="shared" si="207"/>
        <v>0.193</v>
      </c>
      <c r="H586" s="52">
        <f t="shared" si="208"/>
        <v>0.1998</v>
      </c>
      <c r="I586" s="13">
        <f t="shared" si="209"/>
        <v>0.1964</v>
      </c>
      <c r="J586" s="86"/>
    </row>
    <row r="587">
      <c r="A587" s="48">
        <v>10.0</v>
      </c>
      <c r="B587" s="68">
        <v>1.0</v>
      </c>
      <c r="C587" s="40">
        <v>344.0</v>
      </c>
      <c r="D587" s="27">
        <v>0.0</v>
      </c>
      <c r="E587" s="27">
        <v>137.0</v>
      </c>
      <c r="F587" s="76">
        <v>6.0</v>
      </c>
      <c r="G587" s="51">
        <f t="shared" si="207"/>
        <v>0.3888</v>
      </c>
      <c r="H587" s="52">
        <f t="shared" si="208"/>
        <v>0.2974</v>
      </c>
      <c r="I587" s="13">
        <f t="shared" si="209"/>
        <v>0.3431</v>
      </c>
      <c r="J587" s="91"/>
    </row>
    <row r="588">
      <c r="A588" s="43" t="s">
        <v>33</v>
      </c>
      <c r="B588" s="92">
        <f>SUM(B578:B587)</f>
        <v>7</v>
      </c>
      <c r="C588" s="93">
        <f>AVERAGE(C578:C587)</f>
        <v>123.8</v>
      </c>
      <c r="D588" s="93">
        <f>SUM(D578:D587)</f>
        <v>4</v>
      </c>
      <c r="E588" s="93">
        <f t="shared" ref="E588:F588" si="210">AVERAGE(E578:E587)</f>
        <v>94.8</v>
      </c>
      <c r="F588" s="94">
        <f t="shared" si="210"/>
        <v>17.4</v>
      </c>
      <c r="G588" s="95">
        <f t="shared" ref="G588:H588" si="211">Average(G578:G587)</f>
        <v>0.26136</v>
      </c>
      <c r="H588" s="96">
        <f t="shared" si="211"/>
        <v>0.24056</v>
      </c>
      <c r="I588" s="97">
        <f t="shared" si="209"/>
        <v>0.25096</v>
      </c>
      <c r="J588" s="98"/>
    </row>
    <row r="590">
      <c r="A590" s="43"/>
      <c r="B590" s="43" t="s">
        <v>0</v>
      </c>
      <c r="C590" s="44" t="s">
        <v>132</v>
      </c>
      <c r="D590" s="43" t="s">
        <v>2</v>
      </c>
      <c r="E590" s="43" t="str">
        <f>"Game on " &amp; MATCH(MAX(I592:I601), I592:I601, 0) + ROW(I592) - 1 &amp; ". row"
</f>
        <v>Game on 593. row</v>
      </c>
      <c r="F590" s="43"/>
      <c r="G590" s="43"/>
      <c r="H590" s="43"/>
      <c r="I590" s="45"/>
    </row>
    <row r="591">
      <c r="A591" s="44" t="s">
        <v>133</v>
      </c>
      <c r="B591" s="46" t="s">
        <v>4</v>
      </c>
      <c r="C591" s="46" t="s">
        <v>5</v>
      </c>
      <c r="D591" s="46" t="s">
        <v>6</v>
      </c>
      <c r="E591" s="46" t="s">
        <v>7</v>
      </c>
      <c r="F591" s="46" t="s">
        <v>8</v>
      </c>
      <c r="G591" s="46"/>
      <c r="H591" s="46"/>
      <c r="I591" s="47"/>
      <c r="J591" s="46"/>
    </row>
    <row r="592">
      <c r="A592" s="48">
        <v>1.0</v>
      </c>
      <c r="B592" s="1">
        <v>0.0</v>
      </c>
      <c r="C592" s="1">
        <v>100.0</v>
      </c>
      <c r="D592" s="1">
        <v>0.0</v>
      </c>
      <c r="E592" s="1">
        <v>100.0</v>
      </c>
      <c r="F592" s="1">
        <v>22.0</v>
      </c>
      <c r="G592" s="51">
        <f t="shared" ref="G592:G601" si="212">(B592*0.5 + C592/100*0.2 + (51 - F592)/5*0.3)/10</f>
        <v>0.194</v>
      </c>
      <c r="H592" s="52">
        <f t="shared" ref="H592:H601" si="213">(D592*0.5 + E592/100*0.2 + (51 - F592)/5*0.3)/10</f>
        <v>0.194</v>
      </c>
      <c r="I592" s="53">
        <f t="shared" ref="I592:I602" si="214">AVERAGE(G592,H592)</f>
        <v>0.194</v>
      </c>
      <c r="J592" s="1" t="s">
        <v>15</v>
      </c>
    </row>
    <row r="593">
      <c r="A593" s="48">
        <v>2.0</v>
      </c>
      <c r="B593" s="1">
        <v>4.0</v>
      </c>
      <c r="C593" s="1">
        <v>470.0</v>
      </c>
      <c r="D593" s="1">
        <v>0.0</v>
      </c>
      <c r="E593" s="1">
        <v>144.0</v>
      </c>
      <c r="F593" s="1">
        <v>2.0</v>
      </c>
      <c r="G593" s="51">
        <f t="shared" si="212"/>
        <v>0.588</v>
      </c>
      <c r="H593" s="52">
        <f t="shared" si="213"/>
        <v>0.3228</v>
      </c>
      <c r="I593" s="58">
        <f t="shared" si="214"/>
        <v>0.4554</v>
      </c>
      <c r="J593" s="6">
        <f>B602/10</f>
        <v>1</v>
      </c>
    </row>
    <row r="594">
      <c r="A594" s="48">
        <v>3.0</v>
      </c>
      <c r="B594" s="1">
        <v>0.0</v>
      </c>
      <c r="C594" s="1">
        <v>100.0</v>
      </c>
      <c r="D594" s="1">
        <v>0.0</v>
      </c>
      <c r="E594" s="1">
        <v>0.0</v>
      </c>
      <c r="F594" s="1">
        <v>25.0</v>
      </c>
      <c r="G594" s="51">
        <f t="shared" si="212"/>
        <v>0.176</v>
      </c>
      <c r="H594" s="52">
        <f t="shared" si="213"/>
        <v>0.156</v>
      </c>
      <c r="I594" s="62">
        <f t="shared" si="214"/>
        <v>0.166</v>
      </c>
      <c r="J594" s="1" t="s">
        <v>19</v>
      </c>
    </row>
    <row r="595">
      <c r="A595" s="48">
        <v>4.0</v>
      </c>
      <c r="B595" s="49">
        <v>0.0</v>
      </c>
      <c r="C595" s="34">
        <v>0.0</v>
      </c>
      <c r="D595" s="27">
        <v>0.0</v>
      </c>
      <c r="E595" s="27">
        <v>0.0</v>
      </c>
      <c r="F595" s="50">
        <v>43.0</v>
      </c>
      <c r="G595" s="51">
        <f t="shared" si="212"/>
        <v>0.048</v>
      </c>
      <c r="H595" s="52">
        <f t="shared" si="213"/>
        <v>0.048</v>
      </c>
      <c r="I595" s="67">
        <f t="shared" si="214"/>
        <v>0.048</v>
      </c>
      <c r="J595" s="6">
        <f>D602/10</f>
        <v>0.1</v>
      </c>
    </row>
    <row r="596">
      <c r="A596" s="48">
        <v>5.0</v>
      </c>
      <c r="B596" s="54">
        <v>2.0</v>
      </c>
      <c r="C596" s="35">
        <v>387.0</v>
      </c>
      <c r="D596" s="27">
        <v>1.0</v>
      </c>
      <c r="E596" s="27">
        <v>183.0</v>
      </c>
      <c r="F596" s="55">
        <v>11.0</v>
      </c>
      <c r="G596" s="51">
        <f t="shared" si="212"/>
        <v>0.4174</v>
      </c>
      <c r="H596" s="52">
        <f t="shared" si="213"/>
        <v>0.3266</v>
      </c>
      <c r="I596" s="72">
        <f t="shared" si="214"/>
        <v>0.372</v>
      </c>
      <c r="J596" s="7" t="s">
        <v>23</v>
      </c>
    </row>
    <row r="597">
      <c r="A597" s="48">
        <v>6.0</v>
      </c>
      <c r="B597" s="54">
        <v>0.0</v>
      </c>
      <c r="C597" s="36">
        <v>82.0</v>
      </c>
      <c r="D597" s="27">
        <v>0.0</v>
      </c>
      <c r="E597" s="27">
        <v>0.0</v>
      </c>
      <c r="F597" s="59">
        <v>26.0</v>
      </c>
      <c r="G597" s="51">
        <f t="shared" si="212"/>
        <v>0.1664</v>
      </c>
      <c r="H597" s="52">
        <f t="shared" si="213"/>
        <v>0.15</v>
      </c>
      <c r="I597" s="8">
        <f t="shared" si="214"/>
        <v>0.1582</v>
      </c>
      <c r="J597" s="8">
        <f>J593/J595</f>
        <v>10</v>
      </c>
    </row>
    <row r="598">
      <c r="A598" s="48">
        <v>7.0</v>
      </c>
      <c r="B598" s="68">
        <v>0.0</v>
      </c>
      <c r="C598" s="40">
        <v>0.0</v>
      </c>
      <c r="D598" s="27">
        <v>0.0</v>
      </c>
      <c r="E598" s="27">
        <v>0.0</v>
      </c>
      <c r="F598" s="76">
        <v>26.0</v>
      </c>
      <c r="G598" s="51">
        <f t="shared" si="212"/>
        <v>0.15</v>
      </c>
      <c r="H598" s="52">
        <f t="shared" si="213"/>
        <v>0.15</v>
      </c>
      <c r="I598" s="78">
        <f t="shared" si="214"/>
        <v>0.15</v>
      </c>
      <c r="J598" s="10" t="s">
        <v>27</v>
      </c>
    </row>
    <row r="599">
      <c r="A599" s="48">
        <v>8.0</v>
      </c>
      <c r="B599" s="63">
        <v>0.0</v>
      </c>
      <c r="C599" s="41">
        <v>26.0</v>
      </c>
      <c r="D599" s="27">
        <v>0.0</v>
      </c>
      <c r="E599" s="27">
        <v>0.0</v>
      </c>
      <c r="F599" s="79">
        <v>34.0</v>
      </c>
      <c r="G599" s="51">
        <f t="shared" si="212"/>
        <v>0.1072</v>
      </c>
      <c r="H599" s="52">
        <f t="shared" si="213"/>
        <v>0.102</v>
      </c>
      <c r="I599" s="13">
        <f t="shared" si="214"/>
        <v>0.1046</v>
      </c>
      <c r="J599" s="13">
        <f>J595/J593</f>
        <v>0.1</v>
      </c>
    </row>
    <row r="600">
      <c r="A600" s="48">
        <v>9.0</v>
      </c>
      <c r="B600" s="82">
        <v>1.0</v>
      </c>
      <c r="C600" s="38">
        <v>146.0</v>
      </c>
      <c r="D600" s="27">
        <v>0.0</v>
      </c>
      <c r="E600" s="27">
        <v>0.0</v>
      </c>
      <c r="F600" s="64">
        <v>40.0</v>
      </c>
      <c r="G600" s="51">
        <f t="shared" si="212"/>
        <v>0.1452</v>
      </c>
      <c r="H600" s="52">
        <f t="shared" si="213"/>
        <v>0.066</v>
      </c>
      <c r="I600" s="85">
        <f t="shared" si="214"/>
        <v>0.1056</v>
      </c>
      <c r="J600" s="86"/>
    </row>
    <row r="601">
      <c r="A601" s="48">
        <v>10.0</v>
      </c>
      <c r="B601" s="82">
        <v>3.0</v>
      </c>
      <c r="C601" s="42">
        <v>542.0</v>
      </c>
      <c r="D601" s="27">
        <v>0.0</v>
      </c>
      <c r="E601" s="27">
        <v>145.0</v>
      </c>
      <c r="F601" s="87">
        <v>3.0</v>
      </c>
      <c r="G601" s="51">
        <f t="shared" si="212"/>
        <v>0.5464</v>
      </c>
      <c r="H601" s="52">
        <f t="shared" si="213"/>
        <v>0.317</v>
      </c>
      <c r="I601" s="90">
        <f t="shared" si="214"/>
        <v>0.4317</v>
      </c>
      <c r="J601" s="91"/>
    </row>
    <row r="602">
      <c r="A602" s="43" t="s">
        <v>33</v>
      </c>
      <c r="B602" s="92">
        <f>SUM(B592:B601)</f>
        <v>10</v>
      </c>
      <c r="C602" s="93">
        <f>AVERAGE(C592:C601)</f>
        <v>185.3</v>
      </c>
      <c r="D602" s="93">
        <f>SUM(D592:D601)</f>
        <v>1</v>
      </c>
      <c r="E602" s="93">
        <f t="shared" ref="E602:F602" si="215">AVERAGE(E592:E601)</f>
        <v>57.2</v>
      </c>
      <c r="F602" s="94">
        <f t="shared" si="215"/>
        <v>23.2</v>
      </c>
      <c r="G602" s="95">
        <f t="shared" ref="G602:H602" si="216">Average(G592:G601)</f>
        <v>0.25386</v>
      </c>
      <c r="H602" s="96">
        <f t="shared" si="216"/>
        <v>0.18324</v>
      </c>
      <c r="I602" s="97">
        <f t="shared" si="214"/>
        <v>0.21855</v>
      </c>
      <c r="J602" s="98"/>
    </row>
    <row r="604">
      <c r="A604" s="43"/>
      <c r="B604" s="43" t="s">
        <v>0</v>
      </c>
      <c r="C604" s="44" t="s">
        <v>134</v>
      </c>
      <c r="D604" s="43" t="s">
        <v>2</v>
      </c>
      <c r="E604" s="43" t="str">
        <f>"Game on " &amp; MATCH(MAX(I606:I615), I606:I615, 0) + ROW(I606) - 1 &amp; ". row"
</f>
        <v>Game on 610. row</v>
      </c>
      <c r="F604" s="43"/>
      <c r="G604" s="43"/>
      <c r="H604" s="43"/>
      <c r="I604" s="45"/>
    </row>
    <row r="605">
      <c r="A605" s="44" t="s">
        <v>135</v>
      </c>
      <c r="B605" s="46" t="s">
        <v>4</v>
      </c>
      <c r="C605" s="46" t="s">
        <v>5</v>
      </c>
      <c r="D605" s="46" t="s">
        <v>6</v>
      </c>
      <c r="E605" s="46" t="s">
        <v>7</v>
      </c>
      <c r="F605" s="46" t="s">
        <v>8</v>
      </c>
      <c r="G605" s="46"/>
      <c r="H605" s="46"/>
      <c r="I605" s="47"/>
      <c r="J605" s="46"/>
    </row>
    <row r="606">
      <c r="A606" s="48">
        <v>1.0</v>
      </c>
      <c r="B606" s="1">
        <v>0.0</v>
      </c>
      <c r="C606" s="1">
        <v>0.0</v>
      </c>
      <c r="D606" s="1">
        <v>0.0</v>
      </c>
      <c r="E606" s="1">
        <v>153.0</v>
      </c>
      <c r="F606" s="1">
        <v>39.0</v>
      </c>
      <c r="G606" s="51">
        <f t="shared" ref="G606:G615" si="217">(B606*0.5 + C606/100*0.2 + (51 - F606)/5*0.3)/10</f>
        <v>0.072</v>
      </c>
      <c r="H606" s="52">
        <f t="shared" ref="H606:H615" si="218">(D606*0.5 + E606/100*0.2 + (51 - F606)/5*0.3)/10</f>
        <v>0.1026</v>
      </c>
      <c r="I606" s="53">
        <f t="shared" ref="I606:I616" si="219">AVERAGE(G606,H606)</f>
        <v>0.0873</v>
      </c>
      <c r="J606" s="1" t="s">
        <v>15</v>
      </c>
    </row>
    <row r="607">
      <c r="A607" s="48">
        <v>2.0</v>
      </c>
      <c r="B607" s="1">
        <v>0.0</v>
      </c>
      <c r="C607" s="1">
        <v>0.0</v>
      </c>
      <c r="D607" s="1">
        <v>0.0</v>
      </c>
      <c r="E607" s="1">
        <v>0.0</v>
      </c>
      <c r="F607" s="1">
        <v>50.0</v>
      </c>
      <c r="G607" s="51">
        <f t="shared" si="217"/>
        <v>0.006</v>
      </c>
      <c r="H607" s="52">
        <f t="shared" si="218"/>
        <v>0.006</v>
      </c>
      <c r="I607" s="62">
        <f t="shared" si="219"/>
        <v>0.006</v>
      </c>
      <c r="J607" s="6">
        <f>B616/10</f>
        <v>1.6</v>
      </c>
    </row>
    <row r="608">
      <c r="A608" s="48">
        <v>3.0</v>
      </c>
      <c r="B608" s="1">
        <v>0.0</v>
      </c>
      <c r="C608" s="1">
        <v>93.0</v>
      </c>
      <c r="D608" s="1">
        <v>0.0</v>
      </c>
      <c r="E608" s="1">
        <v>185.0</v>
      </c>
      <c r="F608" s="1">
        <v>29.0</v>
      </c>
      <c r="G608" s="51">
        <f t="shared" si="217"/>
        <v>0.1506</v>
      </c>
      <c r="H608" s="52">
        <f t="shared" si="218"/>
        <v>0.169</v>
      </c>
      <c r="I608" s="62">
        <f t="shared" si="219"/>
        <v>0.1598</v>
      </c>
      <c r="J608" s="1" t="s">
        <v>19</v>
      </c>
    </row>
    <row r="609">
      <c r="A609" s="48">
        <v>4.0</v>
      </c>
      <c r="B609" s="1">
        <v>0.0</v>
      </c>
      <c r="C609" s="1">
        <v>0.0</v>
      </c>
      <c r="D609" s="1">
        <v>0.0</v>
      </c>
      <c r="E609" s="1">
        <v>0.0</v>
      </c>
      <c r="F609" s="1">
        <v>32.0</v>
      </c>
      <c r="G609" s="51">
        <f t="shared" si="217"/>
        <v>0.114</v>
      </c>
      <c r="H609" s="52">
        <f t="shared" si="218"/>
        <v>0.114</v>
      </c>
      <c r="I609" s="67">
        <f t="shared" si="219"/>
        <v>0.114</v>
      </c>
      <c r="J609" s="6">
        <f>D616/10</f>
        <v>0.6</v>
      </c>
    </row>
    <row r="610">
      <c r="A610" s="48">
        <v>5.0</v>
      </c>
      <c r="B610" s="1">
        <v>6.0</v>
      </c>
      <c r="C610" s="1">
        <v>801.0</v>
      </c>
      <c r="D610" s="1">
        <v>2.0</v>
      </c>
      <c r="E610" s="1">
        <v>483.0</v>
      </c>
      <c r="F610" s="1">
        <v>6.0</v>
      </c>
      <c r="G610" s="51">
        <f t="shared" si="217"/>
        <v>0.7302</v>
      </c>
      <c r="H610" s="52">
        <f t="shared" si="218"/>
        <v>0.4666</v>
      </c>
      <c r="I610" s="72">
        <f t="shared" si="219"/>
        <v>0.5984</v>
      </c>
      <c r="J610" s="7" t="s">
        <v>23</v>
      </c>
    </row>
    <row r="611">
      <c r="A611" s="48">
        <v>6.0</v>
      </c>
      <c r="B611" s="1">
        <v>2.0</v>
      </c>
      <c r="C611" s="1">
        <v>246.0</v>
      </c>
      <c r="D611" s="1">
        <v>2.0</v>
      </c>
      <c r="E611" s="1">
        <v>222.0</v>
      </c>
      <c r="F611" s="1">
        <v>18.0</v>
      </c>
      <c r="G611" s="51">
        <f t="shared" si="217"/>
        <v>0.3472</v>
      </c>
      <c r="H611" s="52">
        <f t="shared" si="218"/>
        <v>0.3424</v>
      </c>
      <c r="I611" s="8">
        <f t="shared" si="219"/>
        <v>0.3448</v>
      </c>
      <c r="J611" s="8">
        <f>J607/J609</f>
        <v>2.666666667</v>
      </c>
    </row>
    <row r="612">
      <c r="A612" s="48">
        <v>7.0</v>
      </c>
      <c r="B612" s="1">
        <v>1.0</v>
      </c>
      <c r="C612" s="1">
        <v>167.0</v>
      </c>
      <c r="D612" s="1">
        <v>1.0</v>
      </c>
      <c r="E612" s="1">
        <v>156.0</v>
      </c>
      <c r="F612" s="1">
        <v>26.0</v>
      </c>
      <c r="G612" s="51">
        <f t="shared" si="217"/>
        <v>0.2334</v>
      </c>
      <c r="H612" s="52">
        <f t="shared" si="218"/>
        <v>0.2312</v>
      </c>
      <c r="I612" s="78">
        <f t="shared" si="219"/>
        <v>0.2323</v>
      </c>
      <c r="J612" s="10" t="s">
        <v>27</v>
      </c>
    </row>
    <row r="613">
      <c r="A613" s="48">
        <v>8.0</v>
      </c>
      <c r="B613" s="63">
        <v>1.0</v>
      </c>
      <c r="C613" s="41">
        <v>373.0</v>
      </c>
      <c r="D613" s="27">
        <v>1.0</v>
      </c>
      <c r="E613" s="27">
        <v>201.0</v>
      </c>
      <c r="F613" s="79">
        <v>24.0</v>
      </c>
      <c r="G613" s="51">
        <f t="shared" si="217"/>
        <v>0.2866</v>
      </c>
      <c r="H613" s="52">
        <f t="shared" si="218"/>
        <v>0.2522</v>
      </c>
      <c r="I613" s="13">
        <f t="shared" si="219"/>
        <v>0.2694</v>
      </c>
      <c r="J613" s="13">
        <f>J609/J607</f>
        <v>0.375</v>
      </c>
    </row>
    <row r="614">
      <c r="A614" s="48">
        <v>9.0</v>
      </c>
      <c r="B614" s="82">
        <v>4.0</v>
      </c>
      <c r="C614" s="38">
        <v>324.0</v>
      </c>
      <c r="D614" s="27">
        <v>0.0</v>
      </c>
      <c r="E614" s="27">
        <v>152.0</v>
      </c>
      <c r="F614" s="64">
        <v>13.0</v>
      </c>
      <c r="G614" s="51">
        <f t="shared" si="217"/>
        <v>0.4928</v>
      </c>
      <c r="H614" s="52">
        <f t="shared" si="218"/>
        <v>0.2584</v>
      </c>
      <c r="I614" s="85">
        <f t="shared" si="219"/>
        <v>0.3756</v>
      </c>
      <c r="J614" s="86"/>
    </row>
    <row r="615">
      <c r="A615" s="48">
        <v>10.0</v>
      </c>
      <c r="B615" s="82">
        <v>2.0</v>
      </c>
      <c r="C615" s="42">
        <v>334.0</v>
      </c>
      <c r="D615" s="27">
        <v>0.0</v>
      </c>
      <c r="E615" s="27">
        <v>42.0</v>
      </c>
      <c r="F615" s="87">
        <v>7.0</v>
      </c>
      <c r="G615" s="51">
        <f t="shared" si="217"/>
        <v>0.4308</v>
      </c>
      <c r="H615" s="52">
        <f t="shared" si="218"/>
        <v>0.2724</v>
      </c>
      <c r="I615" s="90">
        <f t="shared" si="219"/>
        <v>0.3516</v>
      </c>
      <c r="J615" s="91"/>
    </row>
    <row r="616">
      <c r="A616" s="43" t="s">
        <v>33</v>
      </c>
      <c r="B616" s="92">
        <f>SUM(B606:B615)</f>
        <v>16</v>
      </c>
      <c r="C616" s="93">
        <f>AVERAGE(C606:C615)</f>
        <v>233.8</v>
      </c>
      <c r="D616" s="93">
        <f>SUM(D606:D615)</f>
        <v>6</v>
      </c>
      <c r="E616" s="93">
        <f t="shared" ref="E616:F616" si="220">AVERAGE(E606:E615)</f>
        <v>159.4</v>
      </c>
      <c r="F616" s="94">
        <f t="shared" si="220"/>
        <v>24.4</v>
      </c>
      <c r="G616" s="95">
        <f t="shared" ref="G616:H616" si="221">Average(G606:G615)</f>
        <v>0.28636</v>
      </c>
      <c r="H616" s="96">
        <f t="shared" si="221"/>
        <v>0.22148</v>
      </c>
      <c r="I616" s="97">
        <f t="shared" si="219"/>
        <v>0.25392</v>
      </c>
      <c r="J616" s="98"/>
    </row>
    <row r="618">
      <c r="A618" s="43"/>
      <c r="B618" s="43" t="s">
        <v>0</v>
      </c>
      <c r="C618" s="44" t="s">
        <v>136</v>
      </c>
      <c r="D618" s="43" t="s">
        <v>2</v>
      </c>
      <c r="E618" s="43" t="str">
        <f>"Game on " &amp; MATCH(MAX(I620:I629), I620:I629, 0) + ROW(I620) - 1 &amp; ". row"
</f>
        <v>Game on 621. row</v>
      </c>
      <c r="F618" s="43"/>
      <c r="G618" s="43"/>
      <c r="H618" s="43"/>
      <c r="I618" s="45"/>
    </row>
    <row r="619">
      <c r="A619" s="44" t="s">
        <v>137</v>
      </c>
      <c r="B619" s="46" t="s">
        <v>4</v>
      </c>
      <c r="C619" s="46" t="s">
        <v>5</v>
      </c>
      <c r="D619" s="46" t="s">
        <v>6</v>
      </c>
      <c r="E619" s="46" t="s">
        <v>7</v>
      </c>
      <c r="F619" s="46" t="s">
        <v>8</v>
      </c>
      <c r="G619" s="46"/>
      <c r="H619" s="46"/>
      <c r="I619" s="47"/>
      <c r="J619" s="46"/>
    </row>
    <row r="620">
      <c r="A620" s="48">
        <v>1.0</v>
      </c>
      <c r="B620" s="1">
        <v>0.0</v>
      </c>
      <c r="C620" s="1">
        <v>28.0</v>
      </c>
      <c r="D620" s="1">
        <v>0.0</v>
      </c>
      <c r="E620" s="1">
        <v>0.0</v>
      </c>
      <c r="F620" s="1">
        <v>32.0</v>
      </c>
      <c r="G620" s="51">
        <f t="shared" ref="G620:G629" si="222">(B620*0.5 + C620/100*0.2 + (51 - F620)/5*0.3)/10</f>
        <v>0.1196</v>
      </c>
      <c r="H620" s="52">
        <f t="shared" ref="H620:H629" si="223">(D620*0.5 + E620/100*0.2 + (51 - F620)/5*0.3)/10</f>
        <v>0.114</v>
      </c>
      <c r="I620" s="53">
        <f t="shared" ref="I620:I630" si="224">AVERAGE(G620,H620)</f>
        <v>0.1168</v>
      </c>
      <c r="J620" s="1" t="s">
        <v>15</v>
      </c>
    </row>
    <row r="621">
      <c r="A621" s="48">
        <v>2.0</v>
      </c>
      <c r="B621" s="1">
        <v>4.0</v>
      </c>
      <c r="C621" s="1">
        <v>472.0</v>
      </c>
      <c r="D621" s="1">
        <v>3.0</v>
      </c>
      <c r="E621" s="1">
        <v>346.0</v>
      </c>
      <c r="F621" s="1">
        <v>1.0</v>
      </c>
      <c r="G621" s="51">
        <f t="shared" si="222"/>
        <v>0.5944</v>
      </c>
      <c r="H621" s="52">
        <f t="shared" si="223"/>
        <v>0.5192</v>
      </c>
      <c r="I621" s="62">
        <f t="shared" si="224"/>
        <v>0.5568</v>
      </c>
      <c r="J621" s="6">
        <f>B630/10</f>
        <v>0.6</v>
      </c>
    </row>
    <row r="622">
      <c r="A622" s="48">
        <v>3.0</v>
      </c>
      <c r="B622" s="1">
        <v>0.0</v>
      </c>
      <c r="C622" s="1">
        <v>43.0</v>
      </c>
      <c r="D622" s="1">
        <v>0.0</v>
      </c>
      <c r="E622" s="1">
        <v>0.0</v>
      </c>
      <c r="F622" s="1">
        <v>14.0</v>
      </c>
      <c r="G622" s="51">
        <f t="shared" si="222"/>
        <v>0.2306</v>
      </c>
      <c r="H622" s="52">
        <f t="shared" si="223"/>
        <v>0.222</v>
      </c>
      <c r="I622" s="62">
        <f t="shared" si="224"/>
        <v>0.2263</v>
      </c>
      <c r="J622" s="1" t="s">
        <v>19</v>
      </c>
    </row>
    <row r="623">
      <c r="A623" s="48">
        <v>4.0</v>
      </c>
      <c r="B623" s="1">
        <v>1.0</v>
      </c>
      <c r="C623" s="1">
        <v>163.0</v>
      </c>
      <c r="D623" s="1">
        <v>0.0</v>
      </c>
      <c r="E623" s="1">
        <v>0.0</v>
      </c>
      <c r="F623" s="1">
        <v>41.0</v>
      </c>
      <c r="G623" s="51">
        <f t="shared" si="222"/>
        <v>0.1426</v>
      </c>
      <c r="H623" s="52">
        <f t="shared" si="223"/>
        <v>0.06</v>
      </c>
      <c r="I623" s="67">
        <f t="shared" si="224"/>
        <v>0.1013</v>
      </c>
      <c r="J623" s="6">
        <f>D630/10</f>
        <v>0.7</v>
      </c>
    </row>
    <row r="624">
      <c r="A624" s="48">
        <v>5.0</v>
      </c>
      <c r="B624" s="1">
        <v>0.0</v>
      </c>
      <c r="C624" s="1">
        <v>0.0</v>
      </c>
      <c r="D624" s="1">
        <v>0.0</v>
      </c>
      <c r="E624" s="1">
        <v>0.0</v>
      </c>
      <c r="F624" s="1">
        <v>38.0</v>
      </c>
      <c r="G624" s="51">
        <f t="shared" si="222"/>
        <v>0.078</v>
      </c>
      <c r="H624" s="52">
        <f t="shared" si="223"/>
        <v>0.078</v>
      </c>
      <c r="I624" s="72">
        <f t="shared" si="224"/>
        <v>0.078</v>
      </c>
      <c r="J624" s="7" t="s">
        <v>23</v>
      </c>
    </row>
    <row r="625">
      <c r="A625" s="48">
        <v>6.0</v>
      </c>
      <c r="B625" s="1">
        <v>0.0</v>
      </c>
      <c r="C625" s="1">
        <v>0.0</v>
      </c>
      <c r="D625" s="1">
        <v>0.0</v>
      </c>
      <c r="E625" s="1">
        <v>89.0</v>
      </c>
      <c r="F625" s="1">
        <v>41.0</v>
      </c>
      <c r="G625" s="51">
        <f t="shared" si="222"/>
        <v>0.06</v>
      </c>
      <c r="H625" s="52">
        <f t="shared" si="223"/>
        <v>0.0778</v>
      </c>
      <c r="I625" s="8">
        <f t="shared" si="224"/>
        <v>0.0689</v>
      </c>
      <c r="J625" s="8">
        <f>J621/J623</f>
        <v>0.8571428571</v>
      </c>
    </row>
    <row r="626">
      <c r="A626" s="48">
        <v>7.0</v>
      </c>
      <c r="B626" s="1">
        <v>1.0</v>
      </c>
      <c r="C626" s="1">
        <v>112.0</v>
      </c>
      <c r="D626" s="1">
        <v>2.0</v>
      </c>
      <c r="E626" s="1">
        <v>245.0</v>
      </c>
      <c r="F626" s="1">
        <v>8.0</v>
      </c>
      <c r="G626" s="51">
        <f t="shared" si="222"/>
        <v>0.3304</v>
      </c>
      <c r="H626" s="52">
        <f t="shared" si="223"/>
        <v>0.407</v>
      </c>
      <c r="I626" s="78">
        <f t="shared" si="224"/>
        <v>0.3687</v>
      </c>
      <c r="J626" s="10" t="s">
        <v>27</v>
      </c>
    </row>
    <row r="627">
      <c r="A627" s="48">
        <v>8.0</v>
      </c>
      <c r="B627" s="63">
        <v>0.0</v>
      </c>
      <c r="C627" s="41">
        <v>72.0</v>
      </c>
      <c r="D627" s="27">
        <v>0.0</v>
      </c>
      <c r="E627" s="27">
        <v>92.0</v>
      </c>
      <c r="F627" s="79">
        <v>13.0</v>
      </c>
      <c r="G627" s="51">
        <f t="shared" si="222"/>
        <v>0.2424</v>
      </c>
      <c r="H627" s="52">
        <f t="shared" si="223"/>
        <v>0.2464</v>
      </c>
      <c r="I627" s="13">
        <f t="shared" si="224"/>
        <v>0.2444</v>
      </c>
      <c r="J627" s="13">
        <f>J623/J621</f>
        <v>1.166666667</v>
      </c>
    </row>
    <row r="628">
      <c r="A628" s="48">
        <v>9.0</v>
      </c>
      <c r="B628" s="82">
        <v>0.0</v>
      </c>
      <c r="C628" s="38">
        <v>0.0</v>
      </c>
      <c r="D628" s="27">
        <v>2.0</v>
      </c>
      <c r="E628" s="27">
        <v>300.0</v>
      </c>
      <c r="F628" s="64">
        <v>16.0</v>
      </c>
      <c r="G628" s="51">
        <f t="shared" si="222"/>
        <v>0.21</v>
      </c>
      <c r="H628" s="52">
        <f t="shared" si="223"/>
        <v>0.37</v>
      </c>
      <c r="I628" s="85">
        <f t="shared" si="224"/>
        <v>0.29</v>
      </c>
      <c r="J628" s="86"/>
    </row>
    <row r="629">
      <c r="A629" s="48">
        <v>10.0</v>
      </c>
      <c r="B629" s="82">
        <v>0.0</v>
      </c>
      <c r="C629" s="42">
        <v>0.0</v>
      </c>
      <c r="D629" s="27">
        <v>0.0</v>
      </c>
      <c r="E629" s="27">
        <v>68.0</v>
      </c>
      <c r="F629" s="87">
        <v>18.0</v>
      </c>
      <c r="G629" s="51">
        <f t="shared" si="222"/>
        <v>0.198</v>
      </c>
      <c r="H629" s="52">
        <f t="shared" si="223"/>
        <v>0.2116</v>
      </c>
      <c r="I629" s="90">
        <f t="shared" si="224"/>
        <v>0.2048</v>
      </c>
      <c r="J629" s="91"/>
    </row>
    <row r="630">
      <c r="A630" s="43" t="s">
        <v>33</v>
      </c>
      <c r="B630" s="92">
        <f>SUM(B620:B629)</f>
        <v>6</v>
      </c>
      <c r="C630" s="93">
        <f>AVERAGE(C620:C629)</f>
        <v>89</v>
      </c>
      <c r="D630" s="93">
        <f>SUM(D620:D629)</f>
        <v>7</v>
      </c>
      <c r="E630" s="93">
        <f t="shared" ref="E630:F630" si="225">AVERAGE(E620:E629)</f>
        <v>114</v>
      </c>
      <c r="F630" s="94">
        <f t="shared" si="225"/>
        <v>22.2</v>
      </c>
      <c r="G630" s="95">
        <f t="shared" ref="G630:H630" si="226">Average(G620:G629)</f>
        <v>0.2206</v>
      </c>
      <c r="H630" s="96">
        <f t="shared" si="226"/>
        <v>0.2306</v>
      </c>
      <c r="I630" s="97">
        <f t="shared" si="224"/>
        <v>0.2256</v>
      </c>
      <c r="J630" s="98"/>
    </row>
    <row r="632">
      <c r="A632" s="43"/>
      <c r="B632" s="43" t="s">
        <v>0</v>
      </c>
      <c r="C632" s="44" t="s">
        <v>138</v>
      </c>
      <c r="D632" s="43" t="s">
        <v>2</v>
      </c>
      <c r="E632" s="43" t="str">
        <f>"Game on " &amp; MATCH(MAX(I634:I643), I634:I643, 0) + ROW(I634) - 1 &amp; ". row"
</f>
        <v>Game on 643. row</v>
      </c>
      <c r="F632" s="43"/>
      <c r="G632" s="43"/>
      <c r="H632" s="43"/>
      <c r="I632" s="45"/>
    </row>
    <row r="633">
      <c r="A633" s="44" t="s">
        <v>139</v>
      </c>
      <c r="B633" s="46" t="s">
        <v>4</v>
      </c>
      <c r="C633" s="46" t="s">
        <v>5</v>
      </c>
      <c r="D633" s="46" t="s">
        <v>6</v>
      </c>
      <c r="E633" s="46" t="s">
        <v>7</v>
      </c>
      <c r="F633" s="46" t="s">
        <v>8</v>
      </c>
      <c r="G633" s="46"/>
      <c r="H633" s="46"/>
      <c r="I633" s="47"/>
      <c r="J633" s="46"/>
    </row>
    <row r="634">
      <c r="A634" s="48">
        <v>1.0</v>
      </c>
      <c r="B634" s="1">
        <v>1.0</v>
      </c>
      <c r="C634" s="1">
        <v>144.0</v>
      </c>
      <c r="D634" s="1">
        <v>1.0</v>
      </c>
      <c r="E634" s="1">
        <v>128.0</v>
      </c>
      <c r="F634" s="1">
        <v>19.0</v>
      </c>
      <c r="G634" s="51">
        <f t="shared" ref="G634:G643" si="227">(B634*0.5 + C634/100*0.2 + (51 - F634)/5*0.3)/10</f>
        <v>0.2708</v>
      </c>
      <c r="H634" s="52">
        <f t="shared" ref="H634:H643" si="228">(D634*0.5 + E634/100*0.2 + (51 - F634)/5*0.3)/10</f>
        <v>0.2676</v>
      </c>
      <c r="I634" s="53">
        <f t="shared" ref="I634:I644" si="229">AVERAGE(G634,H634)</f>
        <v>0.2692</v>
      </c>
      <c r="J634" s="1" t="s">
        <v>15</v>
      </c>
    </row>
    <row r="635">
      <c r="A635" s="48">
        <v>2.0</v>
      </c>
      <c r="B635" s="1">
        <v>0.0</v>
      </c>
      <c r="C635" s="1">
        <v>100.0</v>
      </c>
      <c r="D635" s="1">
        <v>0.0</v>
      </c>
      <c r="E635" s="1">
        <v>92.0</v>
      </c>
      <c r="F635" s="1">
        <v>31.0</v>
      </c>
      <c r="G635" s="51">
        <f t="shared" si="227"/>
        <v>0.14</v>
      </c>
      <c r="H635" s="52">
        <f t="shared" si="228"/>
        <v>0.1384</v>
      </c>
      <c r="I635" s="62">
        <f t="shared" si="229"/>
        <v>0.1392</v>
      </c>
      <c r="J635" s="6">
        <f>B644/10</f>
        <v>0.9</v>
      </c>
    </row>
    <row r="636">
      <c r="A636" s="48">
        <v>3.0</v>
      </c>
      <c r="B636" s="1">
        <v>0.0</v>
      </c>
      <c r="C636" s="1">
        <v>25.0</v>
      </c>
      <c r="D636" s="1">
        <v>3.0</v>
      </c>
      <c r="E636" s="1">
        <v>360.0</v>
      </c>
      <c r="F636" s="1">
        <v>36.0</v>
      </c>
      <c r="G636" s="51">
        <f t="shared" si="227"/>
        <v>0.095</v>
      </c>
      <c r="H636" s="52">
        <f t="shared" si="228"/>
        <v>0.312</v>
      </c>
      <c r="I636" s="62">
        <f t="shared" si="229"/>
        <v>0.2035</v>
      </c>
      <c r="J636" s="1" t="s">
        <v>19</v>
      </c>
    </row>
    <row r="637">
      <c r="A637" s="48">
        <v>4.0</v>
      </c>
      <c r="B637" s="1">
        <v>0.0</v>
      </c>
      <c r="C637" s="1">
        <v>189.0</v>
      </c>
      <c r="D637" s="1">
        <v>1.0</v>
      </c>
      <c r="E637" s="1">
        <v>158.0</v>
      </c>
      <c r="F637" s="1">
        <v>30.0</v>
      </c>
      <c r="G637" s="51">
        <f t="shared" si="227"/>
        <v>0.1638</v>
      </c>
      <c r="H637" s="52">
        <f t="shared" si="228"/>
        <v>0.2076</v>
      </c>
      <c r="I637" s="67">
        <f t="shared" si="229"/>
        <v>0.1857</v>
      </c>
      <c r="J637" s="6">
        <f>D644/10</f>
        <v>0.9</v>
      </c>
    </row>
    <row r="638">
      <c r="A638" s="48">
        <v>5.0</v>
      </c>
      <c r="B638" s="1">
        <v>1.0</v>
      </c>
      <c r="C638" s="1">
        <v>100.0</v>
      </c>
      <c r="D638" s="1">
        <v>0.0</v>
      </c>
      <c r="E638" s="1">
        <v>200.0</v>
      </c>
      <c r="F638" s="1">
        <v>9.0</v>
      </c>
      <c r="G638" s="51">
        <f t="shared" si="227"/>
        <v>0.322</v>
      </c>
      <c r="H638" s="52">
        <f t="shared" si="228"/>
        <v>0.292</v>
      </c>
      <c r="I638" s="72">
        <f t="shared" si="229"/>
        <v>0.307</v>
      </c>
      <c r="J638" s="7" t="s">
        <v>23</v>
      </c>
    </row>
    <row r="639">
      <c r="A639" s="48">
        <v>6.0</v>
      </c>
      <c r="B639" s="1">
        <v>4.0</v>
      </c>
      <c r="C639" s="1">
        <v>329.0</v>
      </c>
      <c r="D639" s="1">
        <v>1.0</v>
      </c>
      <c r="E639" s="1">
        <v>180.0</v>
      </c>
      <c r="F639" s="1">
        <v>19.0</v>
      </c>
      <c r="G639" s="51">
        <f t="shared" si="227"/>
        <v>0.4578</v>
      </c>
      <c r="H639" s="52">
        <f t="shared" si="228"/>
        <v>0.278</v>
      </c>
      <c r="I639" s="8">
        <f t="shared" si="229"/>
        <v>0.3679</v>
      </c>
      <c r="J639" s="8">
        <f>J635/J637</f>
        <v>1</v>
      </c>
    </row>
    <row r="640">
      <c r="A640" s="48">
        <v>7.0</v>
      </c>
      <c r="B640" s="1">
        <v>0.0</v>
      </c>
      <c r="C640" s="1">
        <v>27.0</v>
      </c>
      <c r="D640" s="1">
        <v>0.0</v>
      </c>
      <c r="E640" s="1">
        <v>137.0</v>
      </c>
      <c r="F640" s="1">
        <v>25.0</v>
      </c>
      <c r="G640" s="51">
        <f t="shared" si="227"/>
        <v>0.1614</v>
      </c>
      <c r="H640" s="52">
        <f t="shared" si="228"/>
        <v>0.1834</v>
      </c>
      <c r="I640" s="78">
        <f t="shared" si="229"/>
        <v>0.1724</v>
      </c>
      <c r="J640" s="10" t="s">
        <v>27</v>
      </c>
    </row>
    <row r="641">
      <c r="A641" s="48">
        <v>8.0</v>
      </c>
      <c r="B641" s="63">
        <v>0.0</v>
      </c>
      <c r="C641" s="41">
        <v>0.0</v>
      </c>
      <c r="D641" s="27">
        <v>1.0</v>
      </c>
      <c r="E641" s="27">
        <v>179.0</v>
      </c>
      <c r="F641" s="79">
        <v>27.0</v>
      </c>
      <c r="G641" s="51">
        <f t="shared" si="227"/>
        <v>0.144</v>
      </c>
      <c r="H641" s="52">
        <f t="shared" si="228"/>
        <v>0.2298</v>
      </c>
      <c r="I641" s="13">
        <f t="shared" si="229"/>
        <v>0.1869</v>
      </c>
      <c r="J641" s="13">
        <f>J637/J635</f>
        <v>1</v>
      </c>
    </row>
    <row r="642">
      <c r="A642" s="48">
        <v>9.0</v>
      </c>
      <c r="B642" s="82">
        <v>3.0</v>
      </c>
      <c r="C642" s="38">
        <v>421.0</v>
      </c>
      <c r="D642" s="27">
        <v>0.0</v>
      </c>
      <c r="E642" s="27">
        <v>207.0</v>
      </c>
      <c r="F642" s="64">
        <v>14.0</v>
      </c>
      <c r="G642" s="51">
        <f t="shared" si="227"/>
        <v>0.4562</v>
      </c>
      <c r="H642" s="52">
        <f t="shared" si="228"/>
        <v>0.2634</v>
      </c>
      <c r="I642" s="85">
        <f t="shared" si="229"/>
        <v>0.3598</v>
      </c>
      <c r="J642" s="86"/>
    </row>
    <row r="643">
      <c r="A643" s="48">
        <v>10.0</v>
      </c>
      <c r="B643" s="82">
        <v>0.0</v>
      </c>
      <c r="C643" s="42">
        <v>335.0</v>
      </c>
      <c r="D643" s="27">
        <v>2.0</v>
      </c>
      <c r="E643" s="27">
        <v>484.0</v>
      </c>
      <c r="F643" s="87">
        <v>4.0</v>
      </c>
      <c r="G643" s="51">
        <f t="shared" si="227"/>
        <v>0.349</v>
      </c>
      <c r="H643" s="52">
        <f t="shared" si="228"/>
        <v>0.4788</v>
      </c>
      <c r="I643" s="90">
        <f t="shared" si="229"/>
        <v>0.4139</v>
      </c>
      <c r="J643" s="91"/>
    </row>
    <row r="644">
      <c r="A644" s="43" t="s">
        <v>33</v>
      </c>
      <c r="B644" s="92">
        <f>SUM(B634:B643)</f>
        <v>9</v>
      </c>
      <c r="C644" s="93">
        <f>AVERAGE(C634:C643)</f>
        <v>167</v>
      </c>
      <c r="D644" s="93">
        <f>SUM(D634:D643)</f>
        <v>9</v>
      </c>
      <c r="E644" s="93">
        <f t="shared" ref="E644:F644" si="230">AVERAGE(E634:E643)</f>
        <v>212.5</v>
      </c>
      <c r="F644" s="94">
        <f t="shared" si="230"/>
        <v>21.4</v>
      </c>
      <c r="G644" s="95">
        <f t="shared" ref="G644:H644" si="231">Average(G634:G643)</f>
        <v>0.256</v>
      </c>
      <c r="H644" s="96">
        <f t="shared" si="231"/>
        <v>0.2651</v>
      </c>
      <c r="I644" s="97">
        <f t="shared" si="229"/>
        <v>0.26055</v>
      </c>
      <c r="J644" s="98"/>
    </row>
    <row r="646">
      <c r="A646" s="43"/>
      <c r="B646" s="43" t="s">
        <v>0</v>
      </c>
      <c r="C646" s="44" t="s">
        <v>140</v>
      </c>
      <c r="D646" s="43" t="s">
        <v>2</v>
      </c>
      <c r="E646" s="43" t="str">
        <f>"Game on " &amp; MATCH(MAX(I648:I657), I648:I657, 0) + ROW(I648) - 1 &amp; ". row"
</f>
        <v>Game on 652. row</v>
      </c>
      <c r="F646" s="43"/>
      <c r="G646" s="43"/>
      <c r="H646" s="43"/>
      <c r="I646" s="45"/>
    </row>
    <row r="647">
      <c r="A647" s="44" t="s">
        <v>141</v>
      </c>
      <c r="B647" s="46" t="s">
        <v>4</v>
      </c>
      <c r="C647" s="46" t="s">
        <v>5</v>
      </c>
      <c r="D647" s="46" t="s">
        <v>6</v>
      </c>
      <c r="E647" s="46" t="s">
        <v>7</v>
      </c>
      <c r="F647" s="46" t="s">
        <v>8</v>
      </c>
      <c r="G647" s="46"/>
      <c r="H647" s="46"/>
      <c r="I647" s="47"/>
      <c r="J647" s="46"/>
    </row>
    <row r="648">
      <c r="A648" s="48">
        <v>1.0</v>
      </c>
      <c r="B648" s="1">
        <v>0.0</v>
      </c>
      <c r="C648" s="1">
        <v>147.0</v>
      </c>
      <c r="D648" s="1">
        <v>0.0</v>
      </c>
      <c r="E648" s="1">
        <v>0.0</v>
      </c>
      <c r="F648" s="1">
        <v>47.0</v>
      </c>
      <c r="G648" s="51">
        <f t="shared" ref="G648:G657" si="232">(B648*0.5 + C648/100*0.2 + (51 - F648)/5*0.3)/10</f>
        <v>0.0534</v>
      </c>
      <c r="H648" s="52">
        <f t="shared" ref="H648:H657" si="233">(D648*0.5 + E648/100*0.2 + (51 - F648)/5*0.3)/10</f>
        <v>0.024</v>
      </c>
      <c r="I648" s="53">
        <f t="shared" ref="I648:I658" si="234">AVERAGE(G648,H648)</f>
        <v>0.0387</v>
      </c>
      <c r="J648" s="1" t="s">
        <v>15</v>
      </c>
    </row>
    <row r="649">
      <c r="A649" s="48">
        <v>2.0</v>
      </c>
      <c r="B649" s="1">
        <v>0.0</v>
      </c>
      <c r="C649" s="1">
        <v>0.0</v>
      </c>
      <c r="D649" s="1">
        <v>0.0</v>
      </c>
      <c r="E649" s="1">
        <v>29.0</v>
      </c>
      <c r="F649" s="1">
        <v>31.0</v>
      </c>
      <c r="G649" s="51">
        <f t="shared" si="232"/>
        <v>0.12</v>
      </c>
      <c r="H649" s="52">
        <f t="shared" si="233"/>
        <v>0.1258</v>
      </c>
      <c r="I649" s="62">
        <f t="shared" si="234"/>
        <v>0.1229</v>
      </c>
      <c r="J649" s="6">
        <f>B658/10</f>
        <v>0.7</v>
      </c>
    </row>
    <row r="650">
      <c r="A650" s="48">
        <v>3.0</v>
      </c>
      <c r="B650" s="1">
        <v>1.0</v>
      </c>
      <c r="C650" s="1">
        <v>63.0</v>
      </c>
      <c r="D650" s="1">
        <v>2.0</v>
      </c>
      <c r="E650" s="1">
        <v>259.0</v>
      </c>
      <c r="F650" s="1">
        <v>26.0</v>
      </c>
      <c r="G650" s="51">
        <f t="shared" si="232"/>
        <v>0.2126</v>
      </c>
      <c r="H650" s="52">
        <f t="shared" si="233"/>
        <v>0.3018</v>
      </c>
      <c r="I650" s="62">
        <f t="shared" si="234"/>
        <v>0.2572</v>
      </c>
      <c r="J650" s="1" t="s">
        <v>19</v>
      </c>
    </row>
    <row r="651">
      <c r="A651" s="48">
        <v>4.0</v>
      </c>
      <c r="B651" s="1">
        <v>0.0</v>
      </c>
      <c r="C651" s="1">
        <v>243.0</v>
      </c>
      <c r="D651" s="1">
        <v>0.0</v>
      </c>
      <c r="E651" s="1">
        <v>201.0</v>
      </c>
      <c r="F651" s="1">
        <v>25.0</v>
      </c>
      <c r="G651" s="51">
        <f t="shared" si="232"/>
        <v>0.2046</v>
      </c>
      <c r="H651" s="52">
        <f t="shared" si="233"/>
        <v>0.1962</v>
      </c>
      <c r="I651" s="67">
        <f t="shared" si="234"/>
        <v>0.2004</v>
      </c>
      <c r="J651" s="6">
        <f>D658/10</f>
        <v>1</v>
      </c>
    </row>
    <row r="652">
      <c r="A652" s="48">
        <v>5.0</v>
      </c>
      <c r="B652" s="1">
        <v>4.0</v>
      </c>
      <c r="C652" s="1">
        <v>760.0</v>
      </c>
      <c r="D652" s="1">
        <v>6.0</v>
      </c>
      <c r="E652" s="1">
        <v>645.0</v>
      </c>
      <c r="F652" s="1">
        <v>5.0</v>
      </c>
      <c r="G652" s="51">
        <f t="shared" si="232"/>
        <v>0.628</v>
      </c>
      <c r="H652" s="52">
        <f t="shared" si="233"/>
        <v>0.705</v>
      </c>
      <c r="I652" s="72">
        <f t="shared" si="234"/>
        <v>0.6665</v>
      </c>
      <c r="J652" s="7" t="s">
        <v>23</v>
      </c>
    </row>
    <row r="653">
      <c r="A653" s="48">
        <v>6.0</v>
      </c>
      <c r="B653" s="1">
        <v>0.0</v>
      </c>
      <c r="C653" s="1">
        <v>206.0</v>
      </c>
      <c r="D653" s="1">
        <v>0.0</v>
      </c>
      <c r="E653" s="1">
        <v>103.0</v>
      </c>
      <c r="F653" s="1">
        <v>28.0</v>
      </c>
      <c r="G653" s="51">
        <f t="shared" si="232"/>
        <v>0.1792</v>
      </c>
      <c r="H653" s="52">
        <f t="shared" si="233"/>
        <v>0.1586</v>
      </c>
      <c r="I653" s="8">
        <f t="shared" si="234"/>
        <v>0.1689</v>
      </c>
      <c r="J653" s="8">
        <f>J649/J651</f>
        <v>0.7</v>
      </c>
    </row>
    <row r="654">
      <c r="A654" s="48">
        <v>7.0</v>
      </c>
      <c r="B654" s="1">
        <v>0.0</v>
      </c>
      <c r="C654" s="1">
        <v>129.0</v>
      </c>
      <c r="D654" s="1">
        <v>0.0</v>
      </c>
      <c r="E654" s="1">
        <v>115.0</v>
      </c>
      <c r="F654" s="1">
        <v>31.0</v>
      </c>
      <c r="G654" s="51">
        <f t="shared" si="232"/>
        <v>0.1458</v>
      </c>
      <c r="H654" s="52">
        <f t="shared" si="233"/>
        <v>0.143</v>
      </c>
      <c r="I654" s="78">
        <f t="shared" si="234"/>
        <v>0.1444</v>
      </c>
      <c r="J654" s="10" t="s">
        <v>27</v>
      </c>
    </row>
    <row r="655">
      <c r="A655" s="48">
        <v>8.0</v>
      </c>
      <c r="B655" s="63">
        <v>1.0</v>
      </c>
      <c r="C655" s="41">
        <v>166.0</v>
      </c>
      <c r="D655" s="27">
        <v>0.0</v>
      </c>
      <c r="E655" s="27">
        <v>115.0</v>
      </c>
      <c r="F655" s="79">
        <v>14.0</v>
      </c>
      <c r="G655" s="51">
        <f t="shared" si="232"/>
        <v>0.3052</v>
      </c>
      <c r="H655" s="52">
        <f t="shared" si="233"/>
        <v>0.245</v>
      </c>
      <c r="I655" s="13">
        <f t="shared" si="234"/>
        <v>0.2751</v>
      </c>
      <c r="J655" s="13">
        <f>J651/J649</f>
        <v>1.428571429</v>
      </c>
    </row>
    <row r="656">
      <c r="A656" s="48">
        <v>9.0</v>
      </c>
      <c r="B656" s="82">
        <v>1.0</v>
      </c>
      <c r="C656" s="38">
        <v>100.0</v>
      </c>
      <c r="D656" s="27">
        <v>1.0</v>
      </c>
      <c r="E656" s="27">
        <v>148.0</v>
      </c>
      <c r="F656" s="64">
        <v>21.0</v>
      </c>
      <c r="G656" s="51">
        <f t="shared" si="232"/>
        <v>0.25</v>
      </c>
      <c r="H656" s="52">
        <f t="shared" si="233"/>
        <v>0.2596</v>
      </c>
      <c r="I656" s="85">
        <f t="shared" si="234"/>
        <v>0.2548</v>
      </c>
      <c r="J656" s="86"/>
    </row>
    <row r="657">
      <c r="A657" s="48">
        <v>10.0</v>
      </c>
      <c r="B657" s="82">
        <v>0.0</v>
      </c>
      <c r="C657" s="42">
        <v>85.0</v>
      </c>
      <c r="D657" s="27">
        <v>1.0</v>
      </c>
      <c r="E657" s="27">
        <v>8.0</v>
      </c>
      <c r="F657" s="87">
        <v>42.0</v>
      </c>
      <c r="G657" s="51">
        <f t="shared" si="232"/>
        <v>0.071</v>
      </c>
      <c r="H657" s="52">
        <f t="shared" si="233"/>
        <v>0.1056</v>
      </c>
      <c r="I657" s="90">
        <f t="shared" si="234"/>
        <v>0.0883</v>
      </c>
      <c r="J657" s="91"/>
    </row>
    <row r="658">
      <c r="A658" s="43" t="s">
        <v>33</v>
      </c>
      <c r="B658" s="92">
        <f>SUM(B648:B657)</f>
        <v>7</v>
      </c>
      <c r="C658" s="93">
        <f>AVERAGE(C648:C657)</f>
        <v>189.9</v>
      </c>
      <c r="D658" s="93">
        <f>SUM(D648:D657)</f>
        <v>10</v>
      </c>
      <c r="E658" s="93">
        <f t="shared" ref="E658:F658" si="235">AVERAGE(E648:E657)</f>
        <v>162.3</v>
      </c>
      <c r="F658" s="94">
        <f t="shared" si="235"/>
        <v>27</v>
      </c>
      <c r="G658" s="95">
        <f t="shared" ref="G658:H658" si="236">Average(G648:G657)</f>
        <v>0.21698</v>
      </c>
      <c r="H658" s="96">
        <f t="shared" si="236"/>
        <v>0.22646</v>
      </c>
      <c r="I658" s="97">
        <f t="shared" si="234"/>
        <v>0.22172</v>
      </c>
      <c r="J658" s="98"/>
    </row>
    <row r="660">
      <c r="A660" s="43"/>
      <c r="B660" s="43" t="s">
        <v>0</v>
      </c>
      <c r="C660" s="44" t="s">
        <v>142</v>
      </c>
      <c r="D660" s="43" t="s">
        <v>2</v>
      </c>
      <c r="E660" s="43" t="str">
        <f>"Game on " &amp; MATCH(MAX(I662:I671), I662:I671, 0) + ROW(I662) - 1 &amp; ". row"
</f>
        <v>Game on 668. row</v>
      </c>
      <c r="F660" s="43"/>
      <c r="G660" s="43"/>
      <c r="H660" s="43"/>
      <c r="I660" s="45"/>
    </row>
    <row r="661">
      <c r="A661" s="44" t="s">
        <v>143</v>
      </c>
      <c r="B661" s="46" t="s">
        <v>4</v>
      </c>
      <c r="C661" s="46" t="s">
        <v>5</v>
      </c>
      <c r="D661" s="46" t="s">
        <v>6</v>
      </c>
      <c r="E661" s="46" t="s">
        <v>7</v>
      </c>
      <c r="F661" s="46" t="s">
        <v>8</v>
      </c>
      <c r="G661" s="46"/>
      <c r="H661" s="46"/>
      <c r="I661" s="47"/>
      <c r="J661" s="46"/>
    </row>
    <row r="662">
      <c r="A662" s="48">
        <v>1.0</v>
      </c>
      <c r="B662" s="1">
        <v>1.0</v>
      </c>
      <c r="C662" s="1">
        <v>54.0</v>
      </c>
      <c r="D662" s="1">
        <v>0.0</v>
      </c>
      <c r="E662" s="1">
        <v>97.0</v>
      </c>
      <c r="F662" s="1">
        <v>25.0</v>
      </c>
      <c r="G662" s="51">
        <f t="shared" ref="G662:G671" si="237">(B662*0.5 + C662/100*0.2 + (51 - F662)/5*0.3)/10</f>
        <v>0.2168</v>
      </c>
      <c r="H662" s="52">
        <f t="shared" ref="H662:H671" si="238">(D662*0.5 + E662/100*0.2 + (51 - F662)/5*0.3)/10</f>
        <v>0.1754</v>
      </c>
      <c r="I662" s="53">
        <f t="shared" ref="I662:I672" si="239">AVERAGE(G662,H662)</f>
        <v>0.1961</v>
      </c>
      <c r="J662" s="1" t="s">
        <v>15</v>
      </c>
    </row>
    <row r="663">
      <c r="A663" s="48">
        <v>2.0</v>
      </c>
      <c r="B663" s="1">
        <v>4.0</v>
      </c>
      <c r="C663" s="1">
        <v>535.0</v>
      </c>
      <c r="D663" s="1">
        <v>0.0</v>
      </c>
      <c r="E663" s="1">
        <v>234.0</v>
      </c>
      <c r="F663" s="1">
        <v>26.0</v>
      </c>
      <c r="G663" s="51">
        <f t="shared" si="237"/>
        <v>0.457</v>
      </c>
      <c r="H663" s="52">
        <f t="shared" si="238"/>
        <v>0.1968</v>
      </c>
      <c r="I663" s="62">
        <f t="shared" si="239"/>
        <v>0.3269</v>
      </c>
      <c r="J663" s="6">
        <f>B672/10</f>
        <v>1</v>
      </c>
    </row>
    <row r="664">
      <c r="A664" s="48">
        <v>3.0</v>
      </c>
      <c r="B664" s="1">
        <v>0.0</v>
      </c>
      <c r="C664" s="1">
        <v>0.0</v>
      </c>
      <c r="D664" s="1">
        <v>0.0</v>
      </c>
      <c r="E664" s="1">
        <v>153.0</v>
      </c>
      <c r="F664" s="1">
        <v>31.0</v>
      </c>
      <c r="G664" s="51">
        <f t="shared" si="237"/>
        <v>0.12</v>
      </c>
      <c r="H664" s="52">
        <f t="shared" si="238"/>
        <v>0.1506</v>
      </c>
      <c r="I664" s="62">
        <f t="shared" si="239"/>
        <v>0.1353</v>
      </c>
      <c r="J664" s="1" t="s">
        <v>19</v>
      </c>
    </row>
    <row r="665">
      <c r="A665" s="48">
        <v>4.0</v>
      </c>
      <c r="B665" s="1">
        <v>0.0</v>
      </c>
      <c r="C665" s="1">
        <v>86.0</v>
      </c>
      <c r="D665" s="1">
        <v>0.0</v>
      </c>
      <c r="E665" s="1">
        <v>15.0</v>
      </c>
      <c r="F665" s="1">
        <v>19.0</v>
      </c>
      <c r="G665" s="51">
        <f t="shared" si="237"/>
        <v>0.2092</v>
      </c>
      <c r="H665" s="52">
        <f t="shared" si="238"/>
        <v>0.195</v>
      </c>
      <c r="I665" s="67">
        <f t="shared" si="239"/>
        <v>0.2021</v>
      </c>
      <c r="J665" s="6">
        <f>D672/10</f>
        <v>0.2</v>
      </c>
    </row>
    <row r="666">
      <c r="A666" s="48">
        <v>5.0</v>
      </c>
      <c r="B666" s="1">
        <v>0.0</v>
      </c>
      <c r="C666" s="1">
        <v>62.0</v>
      </c>
      <c r="D666" s="1">
        <v>0.0</v>
      </c>
      <c r="E666" s="1">
        <v>39.0</v>
      </c>
      <c r="F666" s="1">
        <v>39.0</v>
      </c>
      <c r="G666" s="51">
        <f t="shared" si="237"/>
        <v>0.0844</v>
      </c>
      <c r="H666" s="52">
        <f t="shared" si="238"/>
        <v>0.0798</v>
      </c>
      <c r="I666" s="72">
        <f t="shared" si="239"/>
        <v>0.0821</v>
      </c>
      <c r="J666" s="7" t="s">
        <v>23</v>
      </c>
    </row>
    <row r="667">
      <c r="A667" s="48">
        <v>6.0</v>
      </c>
      <c r="B667" s="1">
        <v>0.0</v>
      </c>
      <c r="C667" s="1">
        <v>0.0</v>
      </c>
      <c r="D667" s="1">
        <v>1.0</v>
      </c>
      <c r="E667" s="1">
        <v>100.0</v>
      </c>
      <c r="F667" s="1">
        <v>33.0</v>
      </c>
      <c r="G667" s="51">
        <f t="shared" si="237"/>
        <v>0.108</v>
      </c>
      <c r="H667" s="52">
        <f t="shared" si="238"/>
        <v>0.178</v>
      </c>
      <c r="I667" s="8">
        <f t="shared" si="239"/>
        <v>0.143</v>
      </c>
      <c r="J667" s="8">
        <f>J663/J665</f>
        <v>5</v>
      </c>
    </row>
    <row r="668">
      <c r="A668" s="48">
        <v>7.0</v>
      </c>
      <c r="B668" s="1">
        <v>4.0</v>
      </c>
      <c r="C668" s="1">
        <v>396.0</v>
      </c>
      <c r="D668" s="1">
        <v>1.0</v>
      </c>
      <c r="E668" s="1">
        <v>205.0</v>
      </c>
      <c r="F668" s="1">
        <v>20.0</v>
      </c>
      <c r="G668" s="51">
        <f t="shared" si="237"/>
        <v>0.4652</v>
      </c>
      <c r="H668" s="52">
        <f t="shared" si="238"/>
        <v>0.277</v>
      </c>
      <c r="I668" s="78">
        <f t="shared" si="239"/>
        <v>0.3711</v>
      </c>
      <c r="J668" s="10" t="s">
        <v>27</v>
      </c>
    </row>
    <row r="669">
      <c r="A669" s="48">
        <v>8.0</v>
      </c>
      <c r="B669" s="63">
        <v>0.0</v>
      </c>
      <c r="C669" s="41">
        <v>105.0</v>
      </c>
      <c r="D669" s="27">
        <v>0.0</v>
      </c>
      <c r="E669" s="27">
        <v>157.0</v>
      </c>
      <c r="F669" s="79">
        <v>32.0</v>
      </c>
      <c r="G669" s="51">
        <f t="shared" si="237"/>
        <v>0.135</v>
      </c>
      <c r="H669" s="52">
        <f t="shared" si="238"/>
        <v>0.1454</v>
      </c>
      <c r="I669" s="13">
        <f t="shared" si="239"/>
        <v>0.1402</v>
      </c>
      <c r="J669" s="13">
        <f>J665/J663</f>
        <v>0.2</v>
      </c>
    </row>
    <row r="670">
      <c r="A670" s="48">
        <v>9.0</v>
      </c>
      <c r="B670" s="82">
        <v>0.0</v>
      </c>
      <c r="C670" s="38">
        <v>0.0</v>
      </c>
      <c r="D670" s="27">
        <v>0.0</v>
      </c>
      <c r="E670" s="27">
        <v>95.0</v>
      </c>
      <c r="F670" s="64">
        <v>44.0</v>
      </c>
      <c r="G670" s="51">
        <f t="shared" si="237"/>
        <v>0.042</v>
      </c>
      <c r="H670" s="52">
        <f t="shared" si="238"/>
        <v>0.061</v>
      </c>
      <c r="I670" s="85">
        <f t="shared" si="239"/>
        <v>0.0515</v>
      </c>
      <c r="J670" s="86"/>
    </row>
    <row r="671">
      <c r="A671" s="48">
        <v>10.0</v>
      </c>
      <c r="B671" s="82">
        <v>1.0</v>
      </c>
      <c r="C671" s="42">
        <v>227.0</v>
      </c>
      <c r="D671" s="27">
        <v>0.0</v>
      </c>
      <c r="E671" s="27">
        <v>50.0</v>
      </c>
      <c r="F671" s="87">
        <v>32.0</v>
      </c>
      <c r="G671" s="51">
        <f t="shared" si="237"/>
        <v>0.2094</v>
      </c>
      <c r="H671" s="52">
        <f t="shared" si="238"/>
        <v>0.124</v>
      </c>
      <c r="I671" s="90">
        <f t="shared" si="239"/>
        <v>0.1667</v>
      </c>
      <c r="J671" s="91"/>
    </row>
    <row r="672">
      <c r="A672" s="43" t="s">
        <v>33</v>
      </c>
      <c r="B672" s="92">
        <f>SUM(B662:B671)</f>
        <v>10</v>
      </c>
      <c r="C672" s="93">
        <f>AVERAGE(C662:C671)</f>
        <v>146.5</v>
      </c>
      <c r="D672" s="93">
        <f>SUM(D662:D671)</f>
        <v>2</v>
      </c>
      <c r="E672" s="93">
        <f t="shared" ref="E672:F672" si="240">AVERAGE(E662:E671)</f>
        <v>114.5</v>
      </c>
      <c r="F672" s="94">
        <f t="shared" si="240"/>
        <v>30.1</v>
      </c>
      <c r="G672" s="95">
        <f t="shared" ref="G672:H672" si="241">Average(G662:G671)</f>
        <v>0.2047</v>
      </c>
      <c r="H672" s="96">
        <f t="shared" si="241"/>
        <v>0.1583</v>
      </c>
      <c r="I672" s="97">
        <f t="shared" si="239"/>
        <v>0.1815</v>
      </c>
      <c r="J672" s="98"/>
    </row>
    <row r="674">
      <c r="A674" s="43"/>
      <c r="B674" s="43" t="s">
        <v>0</v>
      </c>
      <c r="C674" s="44" t="s">
        <v>144</v>
      </c>
      <c r="D674" s="43" t="s">
        <v>2</v>
      </c>
      <c r="E674" s="43" t="str">
        <f>"Game on " &amp; MATCH(MAX(I676:I685), I676:I685, 0) + ROW(I676) - 1 &amp; ". row"
</f>
        <v>Game on 679. row</v>
      </c>
      <c r="F674" s="43"/>
      <c r="G674" s="43"/>
      <c r="H674" s="43"/>
      <c r="I674" s="45"/>
    </row>
    <row r="675">
      <c r="A675" s="44" t="s">
        <v>145</v>
      </c>
      <c r="B675" s="46" t="s">
        <v>4</v>
      </c>
      <c r="C675" s="46" t="s">
        <v>5</v>
      </c>
      <c r="D675" s="46" t="s">
        <v>6</v>
      </c>
      <c r="E675" s="46" t="s">
        <v>7</v>
      </c>
      <c r="F675" s="46" t="s">
        <v>8</v>
      </c>
      <c r="G675" s="46"/>
      <c r="H675" s="46"/>
      <c r="I675" s="47"/>
      <c r="J675" s="46"/>
    </row>
    <row r="676">
      <c r="A676" s="48">
        <v>1.0</v>
      </c>
      <c r="B676" s="1">
        <v>1.0</v>
      </c>
      <c r="C676" s="1">
        <v>168.0</v>
      </c>
      <c r="D676" s="1">
        <v>1.0</v>
      </c>
      <c r="E676" s="1">
        <v>155.0</v>
      </c>
      <c r="F676" s="1">
        <v>2.0</v>
      </c>
      <c r="G676" s="51">
        <f t="shared" ref="G676:G685" si="242">(B676*0.5 + C676/100*0.2 + (51 - F676)/5*0.3)/10</f>
        <v>0.3776</v>
      </c>
      <c r="H676" s="52">
        <f t="shared" ref="H676:H685" si="243">(D676*0.5 + E676/100*0.2 + (51 - F676)/5*0.3)/10</f>
        <v>0.375</v>
      </c>
      <c r="I676" s="53">
        <f t="shared" ref="I676:I686" si="244">AVERAGE(G676,H676)</f>
        <v>0.3763</v>
      </c>
      <c r="J676" s="1" t="s">
        <v>15</v>
      </c>
    </row>
    <row r="677">
      <c r="A677" s="48">
        <v>2.0</v>
      </c>
      <c r="B677" s="1">
        <v>0.0</v>
      </c>
      <c r="C677" s="1">
        <v>105.0</v>
      </c>
      <c r="D677" s="1">
        <v>1.0</v>
      </c>
      <c r="E677" s="1">
        <v>200.0</v>
      </c>
      <c r="F677" s="1">
        <v>13.0</v>
      </c>
      <c r="G677" s="51">
        <f t="shared" si="242"/>
        <v>0.249</v>
      </c>
      <c r="H677" s="52">
        <f t="shared" si="243"/>
        <v>0.318</v>
      </c>
      <c r="I677" s="62">
        <f t="shared" si="244"/>
        <v>0.2835</v>
      </c>
      <c r="J677" s="6">
        <f>B686/10</f>
        <v>0.9</v>
      </c>
    </row>
    <row r="678">
      <c r="A678" s="48">
        <v>3.0</v>
      </c>
      <c r="B678" s="1">
        <v>0.0</v>
      </c>
      <c r="C678" s="1">
        <v>128.0</v>
      </c>
      <c r="D678" s="1">
        <v>0.0</v>
      </c>
      <c r="E678" s="1">
        <v>0.0</v>
      </c>
      <c r="F678" s="1">
        <v>14.0</v>
      </c>
      <c r="G678" s="51">
        <f t="shared" si="242"/>
        <v>0.2476</v>
      </c>
      <c r="H678" s="52">
        <f t="shared" si="243"/>
        <v>0.222</v>
      </c>
      <c r="I678" s="62">
        <f t="shared" si="244"/>
        <v>0.2348</v>
      </c>
      <c r="J678" s="1" t="s">
        <v>19</v>
      </c>
    </row>
    <row r="679">
      <c r="A679" s="48">
        <v>4.0</v>
      </c>
      <c r="B679" s="1">
        <v>3.0</v>
      </c>
      <c r="C679" s="1">
        <v>469.0</v>
      </c>
      <c r="D679" s="1">
        <v>1.0</v>
      </c>
      <c r="E679" s="1">
        <v>277.0</v>
      </c>
      <c r="F679" s="1">
        <v>9.0</v>
      </c>
      <c r="G679" s="51">
        <f t="shared" si="242"/>
        <v>0.4958</v>
      </c>
      <c r="H679" s="52">
        <f t="shared" si="243"/>
        <v>0.3574</v>
      </c>
      <c r="I679" s="67">
        <f t="shared" si="244"/>
        <v>0.4266</v>
      </c>
      <c r="J679" s="6">
        <f>D686/10</f>
        <v>0.4</v>
      </c>
    </row>
    <row r="680">
      <c r="A680" s="48">
        <v>5.0</v>
      </c>
      <c r="B680" s="1">
        <v>0.0</v>
      </c>
      <c r="C680" s="1">
        <v>62.0</v>
      </c>
      <c r="D680" s="1">
        <v>0.0</v>
      </c>
      <c r="E680" s="1">
        <v>54.0</v>
      </c>
      <c r="F680" s="1">
        <v>10.0</v>
      </c>
      <c r="G680" s="51">
        <f t="shared" si="242"/>
        <v>0.2584</v>
      </c>
      <c r="H680" s="52">
        <f t="shared" si="243"/>
        <v>0.2568</v>
      </c>
      <c r="I680" s="72">
        <f t="shared" si="244"/>
        <v>0.2576</v>
      </c>
      <c r="J680" s="7" t="s">
        <v>23</v>
      </c>
    </row>
    <row r="681">
      <c r="A681" s="48">
        <v>6.0</v>
      </c>
      <c r="B681" s="1">
        <v>0.0</v>
      </c>
      <c r="C681" s="1">
        <v>55.0</v>
      </c>
      <c r="D681" s="1">
        <v>0.0</v>
      </c>
      <c r="E681" s="1">
        <v>133.0</v>
      </c>
      <c r="F681" s="1">
        <v>30.0</v>
      </c>
      <c r="G681" s="51">
        <f t="shared" si="242"/>
        <v>0.137</v>
      </c>
      <c r="H681" s="52">
        <f t="shared" si="243"/>
        <v>0.1526</v>
      </c>
      <c r="I681" s="8">
        <f t="shared" si="244"/>
        <v>0.1448</v>
      </c>
      <c r="J681" s="8">
        <f>J677/J679</f>
        <v>2.25</v>
      </c>
    </row>
    <row r="682">
      <c r="A682" s="48">
        <v>7.0</v>
      </c>
      <c r="B682" s="1">
        <v>2.0</v>
      </c>
      <c r="C682" s="1">
        <v>193.0</v>
      </c>
      <c r="D682" s="1">
        <v>0.0</v>
      </c>
      <c r="E682" s="1">
        <v>68.0</v>
      </c>
      <c r="F682" s="1">
        <v>5.0</v>
      </c>
      <c r="G682" s="51">
        <f t="shared" si="242"/>
        <v>0.4146</v>
      </c>
      <c r="H682" s="52">
        <f t="shared" si="243"/>
        <v>0.2896</v>
      </c>
      <c r="I682" s="78">
        <f t="shared" si="244"/>
        <v>0.3521</v>
      </c>
      <c r="J682" s="10" t="s">
        <v>27</v>
      </c>
    </row>
    <row r="683">
      <c r="A683" s="48">
        <v>8.0</v>
      </c>
      <c r="B683" s="63">
        <v>3.0</v>
      </c>
      <c r="C683" s="41">
        <v>371.0</v>
      </c>
      <c r="D683" s="27">
        <v>0.0</v>
      </c>
      <c r="E683" s="27">
        <v>186.0</v>
      </c>
      <c r="F683" s="79">
        <v>2.0</v>
      </c>
      <c r="G683" s="51">
        <f t="shared" si="242"/>
        <v>0.5182</v>
      </c>
      <c r="H683" s="52">
        <f t="shared" si="243"/>
        <v>0.3312</v>
      </c>
      <c r="I683" s="13">
        <f t="shared" si="244"/>
        <v>0.4247</v>
      </c>
      <c r="J683" s="13">
        <f>J679/J677</f>
        <v>0.4444444444</v>
      </c>
    </row>
    <row r="684">
      <c r="A684" s="48">
        <v>9.0</v>
      </c>
      <c r="B684" s="82">
        <v>0.0</v>
      </c>
      <c r="C684" s="38">
        <v>133.0</v>
      </c>
      <c r="D684" s="27">
        <v>0.0</v>
      </c>
      <c r="E684" s="27">
        <v>0.0</v>
      </c>
      <c r="F684" s="64">
        <v>15.0</v>
      </c>
      <c r="G684" s="51">
        <f t="shared" si="242"/>
        <v>0.2426</v>
      </c>
      <c r="H684" s="52">
        <f t="shared" si="243"/>
        <v>0.216</v>
      </c>
      <c r="I684" s="85">
        <f t="shared" si="244"/>
        <v>0.2293</v>
      </c>
      <c r="J684" s="86"/>
    </row>
    <row r="685">
      <c r="A685" s="48">
        <v>10.0</v>
      </c>
      <c r="B685" s="82">
        <v>0.0</v>
      </c>
      <c r="C685" s="42">
        <v>0.0</v>
      </c>
      <c r="D685" s="27">
        <v>1.0</v>
      </c>
      <c r="E685" s="27">
        <v>166.0</v>
      </c>
      <c r="F685" s="87">
        <v>19.0</v>
      </c>
      <c r="G685" s="51">
        <f t="shared" si="242"/>
        <v>0.192</v>
      </c>
      <c r="H685" s="52">
        <f t="shared" si="243"/>
        <v>0.2752</v>
      </c>
      <c r="I685" s="90">
        <f t="shared" si="244"/>
        <v>0.2336</v>
      </c>
      <c r="J685" s="91"/>
    </row>
    <row r="686">
      <c r="A686" s="43" t="s">
        <v>33</v>
      </c>
      <c r="B686" s="92">
        <f>SUM(B676:B685)</f>
        <v>9</v>
      </c>
      <c r="C686" s="93">
        <f>AVERAGE(C676:C685)</f>
        <v>168.4</v>
      </c>
      <c r="D686" s="93">
        <f>SUM(D676:D685)</f>
        <v>4</v>
      </c>
      <c r="E686" s="93">
        <f t="shared" ref="E686:F686" si="245">AVERAGE(E676:E685)</f>
        <v>123.9</v>
      </c>
      <c r="F686" s="94">
        <f t="shared" si="245"/>
        <v>11.9</v>
      </c>
      <c r="G686" s="95">
        <f t="shared" ref="G686:H686" si="246">Average(G676:G685)</f>
        <v>0.31328</v>
      </c>
      <c r="H686" s="96">
        <f t="shared" si="246"/>
        <v>0.27938</v>
      </c>
      <c r="I686" s="97">
        <f t="shared" si="244"/>
        <v>0.29633</v>
      </c>
      <c r="J686" s="98"/>
    </row>
    <row r="688">
      <c r="A688" s="43"/>
      <c r="B688" s="43" t="s">
        <v>0</v>
      </c>
      <c r="C688" s="44" t="s">
        <v>146</v>
      </c>
      <c r="D688" s="43" t="s">
        <v>2</v>
      </c>
      <c r="E688" s="43" t="str">
        <f>"Game on " &amp; MATCH(MAX(I690:I699), I690:I699, 0) + ROW(I690) - 1 &amp; ". row"
</f>
        <v>Game on 691. row</v>
      </c>
      <c r="F688" s="43"/>
      <c r="G688" s="43"/>
      <c r="H688" s="43"/>
      <c r="I688" s="45"/>
    </row>
    <row r="689">
      <c r="A689" s="44" t="s">
        <v>147</v>
      </c>
      <c r="B689" s="46" t="s">
        <v>4</v>
      </c>
      <c r="C689" s="46" t="s">
        <v>5</v>
      </c>
      <c r="D689" s="46" t="s">
        <v>6</v>
      </c>
      <c r="E689" s="46" t="s">
        <v>7</v>
      </c>
      <c r="F689" s="46" t="s">
        <v>8</v>
      </c>
      <c r="G689" s="46"/>
      <c r="H689" s="46"/>
      <c r="I689" s="47"/>
      <c r="J689" s="46"/>
    </row>
    <row r="690">
      <c r="A690" s="48">
        <v>1.0</v>
      </c>
      <c r="B690" s="1">
        <v>3.0</v>
      </c>
      <c r="C690" s="1">
        <v>385.0</v>
      </c>
      <c r="D690" s="1">
        <v>0.0</v>
      </c>
      <c r="E690" s="1">
        <v>69.0</v>
      </c>
      <c r="F690" s="1">
        <v>10.0</v>
      </c>
      <c r="G690" s="51">
        <f t="shared" ref="G690:G699" si="247">(B690*0.5 + C690/100*0.2 + (51 - F690)/5*0.3)/10</f>
        <v>0.473</v>
      </c>
      <c r="H690" s="52">
        <f t="shared" ref="H690:H699" si="248">(D690*0.5 + E690/100*0.2 + (51 - F690)/5*0.3)/10</f>
        <v>0.2598</v>
      </c>
      <c r="I690" s="53">
        <f t="shared" ref="I690:I700" si="249">AVERAGE(G690,H690)</f>
        <v>0.3664</v>
      </c>
      <c r="J690" s="1" t="s">
        <v>15</v>
      </c>
    </row>
    <row r="691">
      <c r="A691" s="48">
        <v>2.0</v>
      </c>
      <c r="B691" s="1">
        <v>7.0</v>
      </c>
      <c r="C691" s="1">
        <v>574.0</v>
      </c>
      <c r="D691" s="1">
        <v>0.0</v>
      </c>
      <c r="E691" s="1">
        <v>349.0</v>
      </c>
      <c r="F691" s="1">
        <v>7.0</v>
      </c>
      <c r="G691" s="51">
        <f t="shared" si="247"/>
        <v>0.7288</v>
      </c>
      <c r="H691" s="52">
        <f t="shared" si="248"/>
        <v>0.3338</v>
      </c>
      <c r="I691" s="62">
        <f t="shared" si="249"/>
        <v>0.5313</v>
      </c>
      <c r="J691" s="6">
        <f>B700/10</f>
        <v>2.9</v>
      </c>
    </row>
    <row r="692">
      <c r="A692" s="48">
        <v>3.0</v>
      </c>
      <c r="B692" s="1">
        <v>0.0</v>
      </c>
      <c r="C692" s="1">
        <v>0.0</v>
      </c>
      <c r="D692" s="1">
        <v>0.0</v>
      </c>
      <c r="E692" s="1">
        <v>74.0</v>
      </c>
      <c r="F692" s="1">
        <v>43.0</v>
      </c>
      <c r="G692" s="51">
        <f t="shared" si="247"/>
        <v>0.048</v>
      </c>
      <c r="H692" s="52">
        <f t="shared" si="248"/>
        <v>0.0628</v>
      </c>
      <c r="I692" s="62">
        <f t="shared" si="249"/>
        <v>0.0554</v>
      </c>
      <c r="J692" s="1" t="s">
        <v>19</v>
      </c>
    </row>
    <row r="693">
      <c r="A693" s="48">
        <v>4.0</v>
      </c>
      <c r="B693" s="1">
        <v>2.0</v>
      </c>
      <c r="C693" s="1">
        <v>196.0</v>
      </c>
      <c r="D693" s="1">
        <v>2.0</v>
      </c>
      <c r="E693" s="1">
        <v>200.0</v>
      </c>
      <c r="F693" s="1">
        <v>7.0</v>
      </c>
      <c r="G693" s="51">
        <f t="shared" si="247"/>
        <v>0.4032</v>
      </c>
      <c r="H693" s="52">
        <f t="shared" si="248"/>
        <v>0.404</v>
      </c>
      <c r="I693" s="67">
        <f t="shared" si="249"/>
        <v>0.4036</v>
      </c>
      <c r="J693" s="6">
        <f>D700/10</f>
        <v>0.7</v>
      </c>
    </row>
    <row r="694">
      <c r="A694" s="48">
        <v>5.0</v>
      </c>
      <c r="B694" s="1">
        <v>2.0</v>
      </c>
      <c r="C694" s="1">
        <v>184.0</v>
      </c>
      <c r="D694" s="1">
        <v>0.0</v>
      </c>
      <c r="E694" s="1">
        <v>100.0</v>
      </c>
      <c r="F694" s="1">
        <v>12.0</v>
      </c>
      <c r="G694" s="51">
        <f t="shared" si="247"/>
        <v>0.3708</v>
      </c>
      <c r="H694" s="52">
        <f t="shared" si="248"/>
        <v>0.254</v>
      </c>
      <c r="I694" s="72">
        <f t="shared" si="249"/>
        <v>0.3124</v>
      </c>
      <c r="J694" s="7" t="s">
        <v>23</v>
      </c>
    </row>
    <row r="695">
      <c r="A695" s="48">
        <v>6.0</v>
      </c>
      <c r="B695" s="1">
        <v>1.0</v>
      </c>
      <c r="C695" s="1">
        <v>190.0</v>
      </c>
      <c r="D695" s="1">
        <v>1.0</v>
      </c>
      <c r="E695" s="1">
        <v>139.0</v>
      </c>
      <c r="F695" s="1">
        <v>23.0</v>
      </c>
      <c r="G695" s="51">
        <f t="shared" si="247"/>
        <v>0.256</v>
      </c>
      <c r="H695" s="52">
        <f t="shared" si="248"/>
        <v>0.2458</v>
      </c>
      <c r="I695" s="72">
        <f t="shared" si="249"/>
        <v>0.2509</v>
      </c>
      <c r="J695" s="8">
        <f>J691/J693</f>
        <v>4.142857143</v>
      </c>
    </row>
    <row r="696">
      <c r="A696" s="48">
        <v>7.0</v>
      </c>
      <c r="B696" s="1">
        <v>5.0</v>
      </c>
      <c r="C696" s="1">
        <v>500.0</v>
      </c>
      <c r="D696" s="1">
        <v>2.0</v>
      </c>
      <c r="E696" s="1">
        <v>397.0</v>
      </c>
      <c r="F696" s="1">
        <v>8.0</v>
      </c>
      <c r="G696" s="51">
        <f t="shared" si="247"/>
        <v>0.608</v>
      </c>
      <c r="H696" s="52">
        <f t="shared" si="248"/>
        <v>0.4374</v>
      </c>
      <c r="I696" s="78">
        <f t="shared" si="249"/>
        <v>0.5227</v>
      </c>
      <c r="J696" s="10" t="s">
        <v>27</v>
      </c>
    </row>
    <row r="697">
      <c r="A697" s="48">
        <v>8.0</v>
      </c>
      <c r="B697" s="63">
        <v>2.0</v>
      </c>
      <c r="C697" s="41">
        <v>233.0</v>
      </c>
      <c r="D697" s="27">
        <v>1.0</v>
      </c>
      <c r="E697" s="27">
        <v>37.0</v>
      </c>
      <c r="F697" s="79">
        <v>5.0</v>
      </c>
      <c r="G697" s="51">
        <f t="shared" si="247"/>
        <v>0.4226</v>
      </c>
      <c r="H697" s="52">
        <f t="shared" si="248"/>
        <v>0.3334</v>
      </c>
      <c r="I697" s="13">
        <f t="shared" si="249"/>
        <v>0.378</v>
      </c>
      <c r="J697" s="13">
        <f>J693/J691</f>
        <v>0.2413793103</v>
      </c>
    </row>
    <row r="698">
      <c r="A698" s="48">
        <v>9.0</v>
      </c>
      <c r="B698" s="82">
        <v>4.0</v>
      </c>
      <c r="C698" s="38">
        <v>476.0</v>
      </c>
      <c r="D698" s="27">
        <v>0.0</v>
      </c>
      <c r="E698" s="27">
        <v>46.0</v>
      </c>
      <c r="F698" s="64">
        <v>4.0</v>
      </c>
      <c r="G698" s="51">
        <f t="shared" si="247"/>
        <v>0.5772</v>
      </c>
      <c r="H698" s="52">
        <f t="shared" si="248"/>
        <v>0.2912</v>
      </c>
      <c r="I698" s="85">
        <f t="shared" si="249"/>
        <v>0.4342</v>
      </c>
      <c r="J698" s="86"/>
    </row>
    <row r="699">
      <c r="A699" s="48">
        <v>10.0</v>
      </c>
      <c r="B699" s="82">
        <v>3.0</v>
      </c>
      <c r="C699" s="42">
        <v>202.0</v>
      </c>
      <c r="D699" s="27">
        <v>1.0</v>
      </c>
      <c r="E699" s="27">
        <v>37.0</v>
      </c>
      <c r="F699" s="87">
        <v>25.0</v>
      </c>
      <c r="G699" s="51">
        <f t="shared" si="247"/>
        <v>0.3464</v>
      </c>
      <c r="H699" s="52">
        <f t="shared" si="248"/>
        <v>0.2134</v>
      </c>
      <c r="I699" s="90">
        <f t="shared" si="249"/>
        <v>0.2799</v>
      </c>
      <c r="J699" s="91"/>
    </row>
    <row r="700">
      <c r="A700" s="43" t="s">
        <v>33</v>
      </c>
      <c r="B700" s="92">
        <f>SUM(B690:B699)</f>
        <v>29</v>
      </c>
      <c r="C700" s="93">
        <f>AVERAGE(C690:C699)</f>
        <v>294</v>
      </c>
      <c r="D700" s="93">
        <f>SUM(D690:D699)</f>
        <v>7</v>
      </c>
      <c r="E700" s="93">
        <f t="shared" ref="E700:F700" si="250">AVERAGE(E690:E699)</f>
        <v>144.8</v>
      </c>
      <c r="F700" s="94">
        <f t="shared" si="250"/>
        <v>14.4</v>
      </c>
      <c r="G700" s="95">
        <f t="shared" ref="G700:H700" si="251">Average(G690:G699)</f>
        <v>0.4234</v>
      </c>
      <c r="H700" s="96">
        <f t="shared" si="251"/>
        <v>0.28356</v>
      </c>
      <c r="I700" s="97">
        <f t="shared" si="249"/>
        <v>0.35348</v>
      </c>
      <c r="J700" s="98"/>
    </row>
    <row r="702">
      <c r="A702" s="43"/>
      <c r="B702" s="43" t="s">
        <v>0</v>
      </c>
      <c r="C702" s="44" t="s">
        <v>148</v>
      </c>
      <c r="D702" s="43" t="s">
        <v>2</v>
      </c>
      <c r="E702" s="43" t="str">
        <f>"Game on " &amp; MATCH(MAX(I704:I713), I704:I713, 0) + ROW(I704) - 1 &amp; ". row"
</f>
        <v>Game on 704. row</v>
      </c>
      <c r="F702" s="43"/>
      <c r="G702" s="43"/>
      <c r="H702" s="43"/>
      <c r="I702" s="45"/>
    </row>
    <row r="703">
      <c r="A703" s="44" t="s">
        <v>149</v>
      </c>
      <c r="B703" s="46" t="s">
        <v>4</v>
      </c>
      <c r="C703" s="46" t="s">
        <v>5</v>
      </c>
      <c r="D703" s="46" t="s">
        <v>6</v>
      </c>
      <c r="E703" s="46" t="s">
        <v>7</v>
      </c>
      <c r="F703" s="46" t="s">
        <v>8</v>
      </c>
      <c r="G703" s="46"/>
      <c r="H703" s="46"/>
      <c r="I703" s="47"/>
      <c r="J703" s="46"/>
    </row>
    <row r="704">
      <c r="A704" s="48">
        <v>1.0</v>
      </c>
      <c r="B704" s="1">
        <v>1.0</v>
      </c>
      <c r="C704" s="1">
        <v>243.0</v>
      </c>
      <c r="D704" s="1">
        <v>5.0</v>
      </c>
      <c r="E704" s="1">
        <v>536.0</v>
      </c>
      <c r="F704" s="1">
        <v>1.0</v>
      </c>
      <c r="G704" s="51">
        <f t="shared" ref="G704:G713" si="252">(B704*0.5 + C704/100*0.2 + (51 - F704)/5*0.3)/10</f>
        <v>0.3986</v>
      </c>
      <c r="H704" s="52">
        <f t="shared" ref="H704:H713" si="253">(D704*0.5 + E704/100*0.2 + (51 - F704)/5*0.3)/10</f>
        <v>0.6572</v>
      </c>
      <c r="I704" s="53">
        <f t="shared" ref="I704:I714" si="254">AVERAGE(G704,H704)</f>
        <v>0.5279</v>
      </c>
      <c r="J704" s="1" t="s">
        <v>15</v>
      </c>
    </row>
    <row r="705">
      <c r="A705" s="48">
        <v>2.0</v>
      </c>
      <c r="B705" s="1">
        <v>1.0</v>
      </c>
      <c r="C705" s="1">
        <v>142.0</v>
      </c>
      <c r="D705" s="1">
        <v>0.0</v>
      </c>
      <c r="E705" s="1">
        <v>0.0</v>
      </c>
      <c r="F705" s="1">
        <v>35.0</v>
      </c>
      <c r="G705" s="51">
        <f t="shared" si="252"/>
        <v>0.1744</v>
      </c>
      <c r="H705" s="52">
        <f t="shared" si="253"/>
        <v>0.096</v>
      </c>
      <c r="I705" s="62">
        <f t="shared" si="254"/>
        <v>0.1352</v>
      </c>
      <c r="J705" s="6">
        <f>B714/10</f>
        <v>1.2</v>
      </c>
    </row>
    <row r="706">
      <c r="A706" s="48">
        <v>3.0</v>
      </c>
      <c r="B706" s="1">
        <v>1.0</v>
      </c>
      <c r="C706" s="1">
        <v>77.0</v>
      </c>
      <c r="D706" s="1">
        <v>0.0</v>
      </c>
      <c r="E706" s="1">
        <v>23.0</v>
      </c>
      <c r="F706" s="1">
        <v>20.0</v>
      </c>
      <c r="G706" s="51">
        <f t="shared" si="252"/>
        <v>0.2514</v>
      </c>
      <c r="H706" s="52">
        <f t="shared" si="253"/>
        <v>0.1906</v>
      </c>
      <c r="I706" s="62">
        <f t="shared" si="254"/>
        <v>0.221</v>
      </c>
      <c r="J706" s="1" t="s">
        <v>19</v>
      </c>
    </row>
    <row r="707">
      <c r="A707" s="48">
        <v>4.0</v>
      </c>
      <c r="B707" s="1">
        <v>0.0</v>
      </c>
      <c r="C707" s="1">
        <v>0.0</v>
      </c>
      <c r="D707" s="1">
        <v>0.0</v>
      </c>
      <c r="E707" s="1">
        <v>174.0</v>
      </c>
      <c r="F707" s="1">
        <v>23.0</v>
      </c>
      <c r="G707" s="51">
        <f t="shared" si="252"/>
        <v>0.168</v>
      </c>
      <c r="H707" s="52">
        <f t="shared" si="253"/>
        <v>0.2028</v>
      </c>
      <c r="I707" s="67">
        <f t="shared" si="254"/>
        <v>0.1854</v>
      </c>
      <c r="J707" s="6">
        <f>D714/10</f>
        <v>1.2</v>
      </c>
    </row>
    <row r="708">
      <c r="A708" s="48">
        <v>5.0</v>
      </c>
      <c r="B708" s="1">
        <v>3.0</v>
      </c>
      <c r="C708" s="1">
        <v>361.0</v>
      </c>
      <c r="D708" s="1">
        <v>1.0</v>
      </c>
      <c r="E708" s="1">
        <v>80.0</v>
      </c>
      <c r="F708" s="1">
        <v>14.0</v>
      </c>
      <c r="G708" s="51">
        <f t="shared" si="252"/>
        <v>0.4442</v>
      </c>
      <c r="H708" s="52">
        <f t="shared" si="253"/>
        <v>0.288</v>
      </c>
      <c r="I708" s="72">
        <f t="shared" si="254"/>
        <v>0.3661</v>
      </c>
      <c r="J708" s="7" t="s">
        <v>23</v>
      </c>
    </row>
    <row r="709">
      <c r="A709" s="48">
        <v>6.0</v>
      </c>
      <c r="B709" s="1">
        <v>2.0</v>
      </c>
      <c r="C709" s="1">
        <v>360.0</v>
      </c>
      <c r="D709" s="1">
        <v>0.0</v>
      </c>
      <c r="E709" s="1">
        <v>65.0</v>
      </c>
      <c r="F709" s="1">
        <v>5.0</v>
      </c>
      <c r="G709" s="51">
        <f t="shared" si="252"/>
        <v>0.448</v>
      </c>
      <c r="H709" s="52">
        <f t="shared" si="253"/>
        <v>0.289</v>
      </c>
      <c r="I709" s="72">
        <f t="shared" si="254"/>
        <v>0.3685</v>
      </c>
      <c r="J709" s="8">
        <f>J705/J707</f>
        <v>1</v>
      </c>
    </row>
    <row r="710">
      <c r="A710" s="48">
        <v>7.0</v>
      </c>
      <c r="B710" s="1">
        <v>2.0</v>
      </c>
      <c r="C710" s="1">
        <v>136.0</v>
      </c>
      <c r="D710" s="1">
        <v>0.0</v>
      </c>
      <c r="E710" s="1">
        <v>152.0</v>
      </c>
      <c r="F710" s="1">
        <v>8.0</v>
      </c>
      <c r="G710" s="51">
        <f t="shared" si="252"/>
        <v>0.3852</v>
      </c>
      <c r="H710" s="52">
        <f t="shared" si="253"/>
        <v>0.2884</v>
      </c>
      <c r="I710" s="78">
        <f t="shared" si="254"/>
        <v>0.3368</v>
      </c>
      <c r="J710" s="10" t="s">
        <v>27</v>
      </c>
    </row>
    <row r="711">
      <c r="A711" s="48">
        <v>8.0</v>
      </c>
      <c r="B711" s="63">
        <v>1.0</v>
      </c>
      <c r="C711" s="41">
        <v>131.0</v>
      </c>
      <c r="D711" s="27">
        <v>1.0</v>
      </c>
      <c r="E711" s="27">
        <v>100.0</v>
      </c>
      <c r="F711" s="79">
        <v>17.0</v>
      </c>
      <c r="G711" s="51">
        <f t="shared" si="252"/>
        <v>0.2802</v>
      </c>
      <c r="H711" s="52">
        <f t="shared" si="253"/>
        <v>0.274</v>
      </c>
      <c r="I711" s="13">
        <f t="shared" si="254"/>
        <v>0.2771</v>
      </c>
      <c r="J711" s="13">
        <f>J707/J705</f>
        <v>1</v>
      </c>
    </row>
    <row r="712">
      <c r="A712" s="48">
        <v>9.0</v>
      </c>
      <c r="B712" s="82">
        <v>1.0</v>
      </c>
      <c r="C712" s="38">
        <v>288.0</v>
      </c>
      <c r="D712" s="27">
        <v>4.0</v>
      </c>
      <c r="E712" s="27">
        <v>284.0</v>
      </c>
      <c r="F712" s="64">
        <v>16.0</v>
      </c>
      <c r="G712" s="51">
        <f t="shared" si="252"/>
        <v>0.3176</v>
      </c>
      <c r="H712" s="52">
        <f t="shared" si="253"/>
        <v>0.4668</v>
      </c>
      <c r="I712" s="85">
        <f t="shared" si="254"/>
        <v>0.3922</v>
      </c>
      <c r="J712" s="86"/>
    </row>
    <row r="713">
      <c r="A713" s="48">
        <v>10.0</v>
      </c>
      <c r="B713" s="82">
        <v>0.0</v>
      </c>
      <c r="C713" s="42">
        <v>203.0</v>
      </c>
      <c r="D713" s="27">
        <v>1.0</v>
      </c>
      <c r="E713" s="27">
        <v>81.0</v>
      </c>
      <c r="F713" s="87">
        <v>13.0</v>
      </c>
      <c r="G713" s="51">
        <f t="shared" si="252"/>
        <v>0.2686</v>
      </c>
      <c r="H713" s="52">
        <f t="shared" si="253"/>
        <v>0.2942</v>
      </c>
      <c r="I713" s="90">
        <f t="shared" si="254"/>
        <v>0.2814</v>
      </c>
      <c r="J713" s="91"/>
    </row>
    <row r="714">
      <c r="A714" s="43" t="s">
        <v>33</v>
      </c>
      <c r="B714" s="92">
        <f>SUM(B704:B713)</f>
        <v>12</v>
      </c>
      <c r="C714" s="93">
        <f>AVERAGE(C704:C713)</f>
        <v>194.1</v>
      </c>
      <c r="D714" s="93">
        <f>SUM(D704:D713)</f>
        <v>12</v>
      </c>
      <c r="E714" s="93">
        <f t="shared" ref="E714:F714" si="255">AVERAGE(E704:E713)</f>
        <v>149.5</v>
      </c>
      <c r="F714" s="94">
        <f t="shared" si="255"/>
        <v>15.2</v>
      </c>
      <c r="G714" s="95">
        <f t="shared" ref="G714:H714" si="256">Average(G704:G713)</f>
        <v>0.31362</v>
      </c>
      <c r="H714" s="96">
        <f t="shared" si="256"/>
        <v>0.3047</v>
      </c>
      <c r="I714" s="97">
        <f t="shared" si="254"/>
        <v>0.30916</v>
      </c>
      <c r="J714" s="98"/>
    </row>
    <row r="716">
      <c r="A716" s="43"/>
      <c r="B716" s="43" t="s">
        <v>0</v>
      </c>
      <c r="C716" s="44" t="s">
        <v>150</v>
      </c>
      <c r="D716" s="43" t="s">
        <v>2</v>
      </c>
      <c r="E716" s="43" t="str">
        <f>"Game on " &amp; MATCH(MAX(I718:I727), I718:I727, 0) + ROW(I718) - 1 &amp; ". row"
</f>
        <v>Game on 727. row</v>
      </c>
      <c r="F716" s="43"/>
      <c r="G716" s="43"/>
      <c r="H716" s="43"/>
      <c r="I716" s="45"/>
    </row>
    <row r="717">
      <c r="A717" s="44" t="s">
        <v>151</v>
      </c>
      <c r="B717" s="46" t="s">
        <v>4</v>
      </c>
      <c r="C717" s="46" t="s">
        <v>5</v>
      </c>
      <c r="D717" s="46" t="s">
        <v>6</v>
      </c>
      <c r="E717" s="46" t="s">
        <v>7</v>
      </c>
      <c r="F717" s="46" t="s">
        <v>8</v>
      </c>
      <c r="G717" s="46"/>
      <c r="H717" s="46"/>
      <c r="I717" s="47"/>
      <c r="J717" s="46"/>
    </row>
    <row r="718">
      <c r="A718" s="48">
        <v>1.0</v>
      </c>
      <c r="B718" s="1">
        <v>2.0</v>
      </c>
      <c r="C718" s="1">
        <v>93.0</v>
      </c>
      <c r="D718" s="1">
        <v>0.0</v>
      </c>
      <c r="E718" s="1">
        <v>19.0</v>
      </c>
      <c r="F718" s="1">
        <v>6.0</v>
      </c>
      <c r="G718" s="51">
        <f t="shared" ref="G718:G727" si="257">(B718*0.5 + C718/100*0.2 + (51 - F718)/5*0.3)/10</f>
        <v>0.3886</v>
      </c>
      <c r="H718" s="52">
        <f t="shared" ref="H718:H727" si="258">(D718*0.5 + E718/100*0.2 + (51 - F718)/5*0.3)/10</f>
        <v>0.2738</v>
      </c>
      <c r="I718" s="53">
        <f t="shared" ref="I718:I728" si="259">AVERAGE(G718,H718)</f>
        <v>0.3312</v>
      </c>
      <c r="J718" s="1" t="s">
        <v>15</v>
      </c>
    </row>
    <row r="719">
      <c r="A719" s="48">
        <v>2.0</v>
      </c>
      <c r="B719" s="1">
        <v>0.0</v>
      </c>
      <c r="C719" s="1">
        <v>55.0</v>
      </c>
      <c r="D719" s="1">
        <v>0.0</v>
      </c>
      <c r="E719" s="1">
        <v>146.0</v>
      </c>
      <c r="F719" s="1">
        <v>29.0</v>
      </c>
      <c r="G719" s="51">
        <f t="shared" si="257"/>
        <v>0.143</v>
      </c>
      <c r="H719" s="52">
        <f t="shared" si="258"/>
        <v>0.1612</v>
      </c>
      <c r="I719" s="62">
        <f t="shared" si="259"/>
        <v>0.1521</v>
      </c>
      <c r="J719" s="6">
        <f>B728/10</f>
        <v>1.5</v>
      </c>
    </row>
    <row r="720">
      <c r="A720" s="48">
        <v>3.0</v>
      </c>
      <c r="B720" s="1">
        <v>2.0</v>
      </c>
      <c r="C720" s="1">
        <v>149.0</v>
      </c>
      <c r="D720" s="1">
        <v>1.0</v>
      </c>
      <c r="E720" s="1">
        <v>233.0</v>
      </c>
      <c r="F720" s="1">
        <v>9.0</v>
      </c>
      <c r="G720" s="51">
        <f t="shared" si="257"/>
        <v>0.3818</v>
      </c>
      <c r="H720" s="52">
        <f t="shared" si="258"/>
        <v>0.3486</v>
      </c>
      <c r="I720" s="62">
        <f t="shared" si="259"/>
        <v>0.3652</v>
      </c>
      <c r="J720" s="1" t="s">
        <v>19</v>
      </c>
    </row>
    <row r="721">
      <c r="A721" s="48">
        <v>4.0</v>
      </c>
      <c r="B721" s="1">
        <v>1.0</v>
      </c>
      <c r="C721" s="1">
        <v>144.0</v>
      </c>
      <c r="D721" s="1">
        <v>2.0</v>
      </c>
      <c r="E721" s="1">
        <v>200.0</v>
      </c>
      <c r="F721" s="1">
        <v>19.0</v>
      </c>
      <c r="G721" s="51">
        <f t="shared" si="257"/>
        <v>0.2708</v>
      </c>
      <c r="H721" s="52">
        <f t="shared" si="258"/>
        <v>0.332</v>
      </c>
      <c r="I721" s="67">
        <f t="shared" si="259"/>
        <v>0.3014</v>
      </c>
      <c r="J721" s="6">
        <f>D728/10</f>
        <v>0.9</v>
      </c>
    </row>
    <row r="722">
      <c r="A722" s="48">
        <v>5.0</v>
      </c>
      <c r="B722" s="1">
        <v>0.0</v>
      </c>
      <c r="C722" s="1">
        <v>104.0</v>
      </c>
      <c r="D722" s="1">
        <v>0.0</v>
      </c>
      <c r="E722" s="1">
        <v>75.0</v>
      </c>
      <c r="F722" s="1">
        <v>10.0</v>
      </c>
      <c r="G722" s="51">
        <f t="shared" si="257"/>
        <v>0.2668</v>
      </c>
      <c r="H722" s="52">
        <f t="shared" si="258"/>
        <v>0.261</v>
      </c>
      <c r="I722" s="72">
        <f t="shared" si="259"/>
        <v>0.2639</v>
      </c>
      <c r="J722" s="7" t="s">
        <v>23</v>
      </c>
    </row>
    <row r="723">
      <c r="A723" s="48">
        <v>6.0</v>
      </c>
      <c r="B723" s="1">
        <v>1.0</v>
      </c>
      <c r="C723" s="1">
        <v>150.0</v>
      </c>
      <c r="D723" s="1">
        <v>0.0</v>
      </c>
      <c r="E723" s="1">
        <v>100.0</v>
      </c>
      <c r="F723" s="1">
        <v>22.0</v>
      </c>
      <c r="G723" s="51">
        <f t="shared" si="257"/>
        <v>0.254</v>
      </c>
      <c r="H723" s="52">
        <f t="shared" si="258"/>
        <v>0.194</v>
      </c>
      <c r="I723" s="72">
        <f t="shared" si="259"/>
        <v>0.224</v>
      </c>
      <c r="J723" s="8">
        <f>J719/J721</f>
        <v>1.666666667</v>
      </c>
    </row>
    <row r="724">
      <c r="A724" s="48">
        <v>7.0</v>
      </c>
      <c r="B724" s="1">
        <v>3.0</v>
      </c>
      <c r="C724" s="1">
        <v>263.0</v>
      </c>
      <c r="D724" s="1">
        <v>0.0</v>
      </c>
      <c r="E724" s="1">
        <v>222.0</v>
      </c>
      <c r="F724" s="1">
        <v>21.0</v>
      </c>
      <c r="G724" s="51">
        <f t="shared" si="257"/>
        <v>0.3826</v>
      </c>
      <c r="H724" s="52">
        <f t="shared" si="258"/>
        <v>0.2244</v>
      </c>
      <c r="I724" s="78">
        <f t="shared" si="259"/>
        <v>0.3035</v>
      </c>
      <c r="J724" s="10" t="s">
        <v>27</v>
      </c>
    </row>
    <row r="725">
      <c r="A725" s="48">
        <v>8.0</v>
      </c>
      <c r="B725" s="63">
        <v>2.0</v>
      </c>
      <c r="C725" s="41">
        <v>265.0</v>
      </c>
      <c r="D725" s="27">
        <v>1.0</v>
      </c>
      <c r="E725" s="27">
        <v>76.0</v>
      </c>
      <c r="F725" s="79">
        <v>25.0</v>
      </c>
      <c r="G725" s="51">
        <f t="shared" si="257"/>
        <v>0.309</v>
      </c>
      <c r="H725" s="52">
        <f t="shared" si="258"/>
        <v>0.2212</v>
      </c>
      <c r="I725" s="13">
        <f t="shared" si="259"/>
        <v>0.2651</v>
      </c>
      <c r="J725" s="13">
        <f>J721/J719</f>
        <v>0.6</v>
      </c>
    </row>
    <row r="726">
      <c r="A726" s="48">
        <v>9.0</v>
      </c>
      <c r="B726" s="82">
        <v>2.0</v>
      </c>
      <c r="C726" s="38">
        <v>301.0</v>
      </c>
      <c r="D726" s="27">
        <v>2.0</v>
      </c>
      <c r="E726" s="27">
        <v>432.0</v>
      </c>
      <c r="F726" s="64">
        <v>6.0</v>
      </c>
      <c r="G726" s="51">
        <f t="shared" si="257"/>
        <v>0.4302</v>
      </c>
      <c r="H726" s="52">
        <f t="shared" si="258"/>
        <v>0.4564</v>
      </c>
      <c r="I726" s="85">
        <f t="shared" si="259"/>
        <v>0.4433</v>
      </c>
      <c r="J726" s="86"/>
    </row>
    <row r="727">
      <c r="A727" s="48">
        <v>10.0</v>
      </c>
      <c r="B727" s="82">
        <v>2.0</v>
      </c>
      <c r="C727" s="42">
        <v>480.0</v>
      </c>
      <c r="D727" s="27">
        <v>3.0</v>
      </c>
      <c r="E727" s="27">
        <v>463.0</v>
      </c>
      <c r="F727" s="87">
        <v>6.0</v>
      </c>
      <c r="G727" s="51">
        <f t="shared" si="257"/>
        <v>0.466</v>
      </c>
      <c r="H727" s="52">
        <f t="shared" si="258"/>
        <v>0.5126</v>
      </c>
      <c r="I727" s="90">
        <f t="shared" si="259"/>
        <v>0.4893</v>
      </c>
      <c r="J727" s="91"/>
    </row>
    <row r="728">
      <c r="A728" s="43" t="s">
        <v>33</v>
      </c>
      <c r="B728" s="92">
        <f>SUM(B718:B727)</f>
        <v>15</v>
      </c>
      <c r="C728" s="93">
        <f>AVERAGE(C718:C727)</f>
        <v>200.4</v>
      </c>
      <c r="D728" s="93">
        <f>SUM(D718:D727)</f>
        <v>9</v>
      </c>
      <c r="E728" s="93">
        <f t="shared" ref="E728:F728" si="260">AVERAGE(E718:E727)</f>
        <v>196.6</v>
      </c>
      <c r="F728" s="94">
        <f t="shared" si="260"/>
        <v>15.3</v>
      </c>
      <c r="G728" s="95">
        <f t="shared" ref="G728:H728" si="261">Average(G718:G727)</f>
        <v>0.32928</v>
      </c>
      <c r="H728" s="96">
        <f t="shared" si="261"/>
        <v>0.29852</v>
      </c>
      <c r="I728" s="97">
        <f t="shared" si="259"/>
        <v>0.3139</v>
      </c>
      <c r="J728" s="98"/>
    </row>
    <row r="730">
      <c r="A730" s="43"/>
      <c r="B730" s="43" t="s">
        <v>0</v>
      </c>
      <c r="C730" s="44" t="s">
        <v>152</v>
      </c>
      <c r="D730" s="43" t="s">
        <v>2</v>
      </c>
      <c r="E730" s="43" t="str">
        <f>"Game on " &amp; MATCH(MAX(I732:I741), I732:I741, 0) + ROW(I732) - 1 &amp; ". row"
</f>
        <v>Game on 740. row</v>
      </c>
      <c r="F730" s="43"/>
      <c r="G730" s="43"/>
      <c r="H730" s="43"/>
      <c r="I730" s="45"/>
    </row>
    <row r="731">
      <c r="A731" s="44" t="s">
        <v>153</v>
      </c>
      <c r="B731" s="46" t="s">
        <v>4</v>
      </c>
      <c r="C731" s="46" t="s">
        <v>5</v>
      </c>
      <c r="D731" s="46" t="s">
        <v>6</v>
      </c>
      <c r="E731" s="46" t="s">
        <v>7</v>
      </c>
      <c r="F731" s="46" t="s">
        <v>8</v>
      </c>
      <c r="G731" s="46"/>
      <c r="H731" s="46"/>
      <c r="I731" s="47"/>
      <c r="J731" s="46"/>
    </row>
    <row r="732">
      <c r="A732" s="48">
        <v>1.0</v>
      </c>
      <c r="B732" s="1">
        <v>2.0</v>
      </c>
      <c r="C732" s="1">
        <v>335.0</v>
      </c>
      <c r="D732" s="1">
        <v>0.0</v>
      </c>
      <c r="E732" s="1">
        <v>129.0</v>
      </c>
      <c r="F732" s="1">
        <v>14.0</v>
      </c>
      <c r="G732" s="51">
        <f t="shared" ref="G732:G741" si="262">(B732*0.5 + C732/100*0.2 + (51 - F732)/5*0.3)/10</f>
        <v>0.389</v>
      </c>
      <c r="H732" s="52">
        <f t="shared" ref="H732:H741" si="263">(D732*0.5 + E732/100*0.2 + (51 - F732)/5*0.3)/10</f>
        <v>0.2478</v>
      </c>
      <c r="I732" s="53">
        <f t="shared" ref="I732:I742" si="264">AVERAGE(G732,H732)</f>
        <v>0.3184</v>
      </c>
      <c r="J732" s="1" t="s">
        <v>15</v>
      </c>
    </row>
    <row r="733">
      <c r="A733" s="48">
        <v>2.0</v>
      </c>
      <c r="B733" s="1">
        <v>1.0</v>
      </c>
      <c r="C733" s="1">
        <v>184.0</v>
      </c>
      <c r="D733" s="1">
        <v>1.0</v>
      </c>
      <c r="E733" s="1">
        <v>185.0</v>
      </c>
      <c r="F733" s="1">
        <v>9.0</v>
      </c>
      <c r="G733" s="51">
        <f t="shared" si="262"/>
        <v>0.3388</v>
      </c>
      <c r="H733" s="52">
        <f t="shared" si="263"/>
        <v>0.339</v>
      </c>
      <c r="I733" s="62">
        <f t="shared" si="264"/>
        <v>0.3389</v>
      </c>
      <c r="J733" s="6">
        <f>B742/10</f>
        <v>1.3</v>
      </c>
    </row>
    <row r="734">
      <c r="A734" s="48">
        <v>3.0</v>
      </c>
      <c r="B734" s="1">
        <v>2.0</v>
      </c>
      <c r="C734" s="1">
        <v>227.0</v>
      </c>
      <c r="D734" s="1">
        <v>0.0</v>
      </c>
      <c r="E734" s="1">
        <v>0.0</v>
      </c>
      <c r="F734" s="1">
        <v>6.0</v>
      </c>
      <c r="G734" s="51">
        <f t="shared" si="262"/>
        <v>0.4154</v>
      </c>
      <c r="H734" s="52">
        <f t="shared" si="263"/>
        <v>0.27</v>
      </c>
      <c r="I734" s="62">
        <f t="shared" si="264"/>
        <v>0.3427</v>
      </c>
      <c r="J734" s="1" t="s">
        <v>19</v>
      </c>
    </row>
    <row r="735">
      <c r="A735" s="48">
        <v>4.0</v>
      </c>
      <c r="B735" s="1">
        <v>1.0</v>
      </c>
      <c r="C735" s="1">
        <v>123.0</v>
      </c>
      <c r="D735" s="1">
        <v>0.0</v>
      </c>
      <c r="E735" s="1">
        <v>107.0</v>
      </c>
      <c r="F735" s="1">
        <v>27.0</v>
      </c>
      <c r="G735" s="51">
        <f t="shared" si="262"/>
        <v>0.2186</v>
      </c>
      <c r="H735" s="52">
        <f t="shared" si="263"/>
        <v>0.1654</v>
      </c>
      <c r="I735" s="67">
        <f t="shared" si="264"/>
        <v>0.192</v>
      </c>
      <c r="J735" s="6">
        <f>D742/10</f>
        <v>0.7</v>
      </c>
    </row>
    <row r="736">
      <c r="A736" s="48">
        <v>5.0</v>
      </c>
      <c r="B736" s="1">
        <v>2.0</v>
      </c>
      <c r="C736" s="1">
        <v>257.0</v>
      </c>
      <c r="D736" s="1">
        <v>2.0</v>
      </c>
      <c r="E736" s="1">
        <v>341.0</v>
      </c>
      <c r="F736" s="1">
        <v>27.0</v>
      </c>
      <c r="G736" s="51">
        <f t="shared" si="262"/>
        <v>0.2954</v>
      </c>
      <c r="H736" s="52">
        <f t="shared" si="263"/>
        <v>0.3122</v>
      </c>
      <c r="I736" s="72">
        <f t="shared" si="264"/>
        <v>0.3038</v>
      </c>
      <c r="J736" s="7" t="s">
        <v>23</v>
      </c>
    </row>
    <row r="737">
      <c r="A737" s="48">
        <v>6.0</v>
      </c>
      <c r="B737" s="1">
        <v>0.0</v>
      </c>
      <c r="C737" s="1">
        <v>202.0</v>
      </c>
      <c r="D737" s="1">
        <v>0.0</v>
      </c>
      <c r="E737" s="1">
        <v>0.0</v>
      </c>
      <c r="F737" s="1">
        <v>25.0</v>
      </c>
      <c r="G737" s="51">
        <f t="shared" si="262"/>
        <v>0.1964</v>
      </c>
      <c r="H737" s="52">
        <f t="shared" si="263"/>
        <v>0.156</v>
      </c>
      <c r="I737" s="72">
        <f t="shared" si="264"/>
        <v>0.1762</v>
      </c>
      <c r="J737" s="8">
        <f>J733/J735</f>
        <v>1.857142857</v>
      </c>
    </row>
    <row r="738">
      <c r="A738" s="48">
        <v>7.0</v>
      </c>
      <c r="B738" s="1">
        <v>0.0</v>
      </c>
      <c r="C738" s="1">
        <v>26.0</v>
      </c>
      <c r="D738" s="1">
        <v>2.0</v>
      </c>
      <c r="E738" s="1">
        <v>254.0</v>
      </c>
      <c r="F738" s="1">
        <v>5.0</v>
      </c>
      <c r="G738" s="51">
        <f t="shared" si="262"/>
        <v>0.2812</v>
      </c>
      <c r="H738" s="52">
        <f t="shared" si="263"/>
        <v>0.4268</v>
      </c>
      <c r="I738" s="78">
        <f t="shared" si="264"/>
        <v>0.354</v>
      </c>
      <c r="J738" s="10" t="s">
        <v>27</v>
      </c>
    </row>
    <row r="739">
      <c r="A739" s="48">
        <v>8.0</v>
      </c>
      <c r="B739" s="63">
        <v>2.0</v>
      </c>
      <c r="C739" s="41">
        <v>314.0</v>
      </c>
      <c r="D739" s="27">
        <v>0.0</v>
      </c>
      <c r="E739" s="27">
        <v>0.0</v>
      </c>
      <c r="F739" s="79">
        <v>19.0</v>
      </c>
      <c r="G739" s="51">
        <f t="shared" si="262"/>
        <v>0.3548</v>
      </c>
      <c r="H739" s="52">
        <f t="shared" si="263"/>
        <v>0.192</v>
      </c>
      <c r="I739" s="13">
        <f t="shared" si="264"/>
        <v>0.2734</v>
      </c>
      <c r="J739" s="13">
        <f>J735/J733</f>
        <v>0.5384615385</v>
      </c>
    </row>
    <row r="740">
      <c r="A740" s="48">
        <v>9.0</v>
      </c>
      <c r="B740" s="1">
        <v>3.0</v>
      </c>
      <c r="C740" s="1">
        <v>364.0</v>
      </c>
      <c r="D740" s="1">
        <v>2.0</v>
      </c>
      <c r="E740" s="1">
        <v>314.0</v>
      </c>
      <c r="F740" s="1">
        <v>2.0</v>
      </c>
      <c r="G740" s="51">
        <f t="shared" si="262"/>
        <v>0.5168</v>
      </c>
      <c r="H740" s="52">
        <f t="shared" si="263"/>
        <v>0.4568</v>
      </c>
      <c r="I740" s="85">
        <f t="shared" si="264"/>
        <v>0.4868</v>
      </c>
      <c r="J740" s="86"/>
    </row>
    <row r="741">
      <c r="A741" s="48">
        <v>10.0</v>
      </c>
      <c r="B741" s="1">
        <v>0.0</v>
      </c>
      <c r="C741" s="1">
        <v>35.0</v>
      </c>
      <c r="D741" s="1">
        <v>0.0</v>
      </c>
      <c r="E741" s="1">
        <v>0.0</v>
      </c>
      <c r="F741" s="1">
        <v>17.0</v>
      </c>
      <c r="G741" s="51">
        <f t="shared" si="262"/>
        <v>0.211</v>
      </c>
      <c r="H741" s="52">
        <f t="shared" si="263"/>
        <v>0.204</v>
      </c>
      <c r="I741" s="90">
        <f t="shared" si="264"/>
        <v>0.2075</v>
      </c>
      <c r="J741" s="91"/>
    </row>
    <row r="742">
      <c r="A742" s="43" t="s">
        <v>33</v>
      </c>
      <c r="B742" s="92">
        <f>SUM(B732:B741)</f>
        <v>13</v>
      </c>
      <c r="C742" s="93">
        <f>AVERAGE(C732:C741)</f>
        <v>206.7</v>
      </c>
      <c r="D742" s="93">
        <f>SUM(D732:D741)</f>
        <v>7</v>
      </c>
      <c r="E742" s="93">
        <f t="shared" ref="E742:F742" si="265">AVERAGE(E732:E741)</f>
        <v>133</v>
      </c>
      <c r="F742" s="94">
        <f t="shared" si="265"/>
        <v>15.1</v>
      </c>
      <c r="G742" s="95">
        <f t="shared" ref="G742:H742" si="266">Average(G732:G741)</f>
        <v>0.32174</v>
      </c>
      <c r="H742" s="96">
        <f t="shared" si="266"/>
        <v>0.277</v>
      </c>
      <c r="I742" s="97">
        <f t="shared" si="264"/>
        <v>0.29937</v>
      </c>
      <c r="J742" s="98"/>
    </row>
    <row r="744">
      <c r="A744" s="43"/>
      <c r="B744" s="43" t="s">
        <v>0</v>
      </c>
      <c r="C744" s="44" t="s">
        <v>154</v>
      </c>
      <c r="D744" s="43" t="s">
        <v>2</v>
      </c>
      <c r="E744" s="43" t="str">
        <f>"Game on " &amp; MATCH(MAX(I746:I755), I746:I755, 0) + ROW(I746) - 1 &amp; ". row"
</f>
        <v>Game on 750. row</v>
      </c>
      <c r="F744" s="43"/>
      <c r="G744" s="43"/>
      <c r="H744" s="43"/>
      <c r="I744" s="45"/>
    </row>
    <row r="745">
      <c r="A745" s="44" t="s">
        <v>155</v>
      </c>
      <c r="B745" s="46" t="s">
        <v>4</v>
      </c>
      <c r="C745" s="46" t="s">
        <v>5</v>
      </c>
      <c r="D745" s="46" t="s">
        <v>6</v>
      </c>
      <c r="E745" s="46" t="s">
        <v>7</v>
      </c>
      <c r="F745" s="46" t="s">
        <v>8</v>
      </c>
      <c r="G745" s="46"/>
      <c r="H745" s="46"/>
      <c r="I745" s="47"/>
      <c r="J745" s="46"/>
    </row>
    <row r="746">
      <c r="A746" s="48">
        <v>1.0</v>
      </c>
      <c r="B746" s="1">
        <v>0.0</v>
      </c>
      <c r="C746" s="1">
        <v>129.0</v>
      </c>
      <c r="D746" s="1">
        <v>0.0</v>
      </c>
      <c r="E746" s="1">
        <v>0.0</v>
      </c>
      <c r="F746" s="1">
        <v>36.0</v>
      </c>
      <c r="G746" s="51">
        <f t="shared" ref="G746:G755" si="267">(B746*0.5 + C746/100*0.2 + (51 - F746)/5*0.3)/10</f>
        <v>0.1158</v>
      </c>
      <c r="H746" s="52">
        <f t="shared" ref="H746:H755" si="268">(D746*0.5 + E746/100*0.2 + (51 - F746)/5*0.3)/10</f>
        <v>0.09</v>
      </c>
      <c r="I746" s="53">
        <f t="shared" ref="I746:I756" si="269">AVERAGE(G746,H746)</f>
        <v>0.1029</v>
      </c>
      <c r="J746" s="1" t="s">
        <v>15</v>
      </c>
    </row>
    <row r="747">
      <c r="A747" s="48">
        <v>2.0</v>
      </c>
      <c r="B747" s="1">
        <v>2.0</v>
      </c>
      <c r="C747" s="1">
        <v>396.0</v>
      </c>
      <c r="D747" s="1">
        <v>0.0</v>
      </c>
      <c r="E747" s="1">
        <v>83.0</v>
      </c>
      <c r="F747" s="1">
        <v>7.0</v>
      </c>
      <c r="G747" s="51">
        <f t="shared" si="267"/>
        <v>0.4432</v>
      </c>
      <c r="H747" s="52">
        <f t="shared" si="268"/>
        <v>0.2806</v>
      </c>
      <c r="I747" s="62">
        <f t="shared" si="269"/>
        <v>0.3619</v>
      </c>
      <c r="J747" s="6">
        <f>B756/10</f>
        <v>1.4</v>
      </c>
    </row>
    <row r="748">
      <c r="A748" s="48">
        <v>3.0</v>
      </c>
      <c r="B748" s="1">
        <v>0.0</v>
      </c>
      <c r="C748" s="1">
        <v>149.0</v>
      </c>
      <c r="D748" s="1">
        <v>0.0</v>
      </c>
      <c r="E748" s="1">
        <v>57.0</v>
      </c>
      <c r="F748" s="1">
        <v>39.0</v>
      </c>
      <c r="G748" s="51">
        <f t="shared" si="267"/>
        <v>0.1018</v>
      </c>
      <c r="H748" s="52">
        <f t="shared" si="268"/>
        <v>0.0834</v>
      </c>
      <c r="I748" s="62">
        <f t="shared" si="269"/>
        <v>0.0926</v>
      </c>
      <c r="J748" s="1" t="s">
        <v>19</v>
      </c>
    </row>
    <row r="749">
      <c r="A749" s="48">
        <v>4.0</v>
      </c>
      <c r="B749" s="1">
        <v>1.0</v>
      </c>
      <c r="C749" s="1">
        <v>241.0</v>
      </c>
      <c r="D749" s="1">
        <v>1.0</v>
      </c>
      <c r="E749" s="1">
        <v>98.0</v>
      </c>
      <c r="F749" s="1">
        <v>22.0</v>
      </c>
      <c r="G749" s="51">
        <f t="shared" si="267"/>
        <v>0.2722</v>
      </c>
      <c r="H749" s="52">
        <f t="shared" si="268"/>
        <v>0.2436</v>
      </c>
      <c r="I749" s="67">
        <f t="shared" si="269"/>
        <v>0.2579</v>
      </c>
      <c r="J749" s="6">
        <f>D756/10</f>
        <v>0.3</v>
      </c>
    </row>
    <row r="750">
      <c r="A750" s="48">
        <v>5.0</v>
      </c>
      <c r="B750" s="1">
        <v>8.0</v>
      </c>
      <c r="C750" s="1">
        <v>711.0</v>
      </c>
      <c r="D750" s="1">
        <v>1.0</v>
      </c>
      <c r="E750" s="1">
        <v>107.0</v>
      </c>
      <c r="F750" s="1">
        <v>1.0</v>
      </c>
      <c r="G750" s="51">
        <f t="shared" si="267"/>
        <v>0.8422</v>
      </c>
      <c r="H750" s="52">
        <f t="shared" si="268"/>
        <v>0.3714</v>
      </c>
      <c r="I750" s="72">
        <f t="shared" si="269"/>
        <v>0.6068</v>
      </c>
      <c r="J750" s="7" t="s">
        <v>23</v>
      </c>
    </row>
    <row r="751">
      <c r="A751" s="48">
        <v>6.0</v>
      </c>
      <c r="B751" s="1">
        <v>1.0</v>
      </c>
      <c r="C751" s="1">
        <v>108.0</v>
      </c>
      <c r="D751" s="1">
        <v>1.0</v>
      </c>
      <c r="E751" s="1">
        <v>100.0</v>
      </c>
      <c r="F751" s="1">
        <v>22.0</v>
      </c>
      <c r="G751" s="51">
        <f t="shared" si="267"/>
        <v>0.2456</v>
      </c>
      <c r="H751" s="52">
        <f t="shared" si="268"/>
        <v>0.244</v>
      </c>
      <c r="I751" s="72">
        <f t="shared" si="269"/>
        <v>0.2448</v>
      </c>
      <c r="J751" s="8">
        <f>J747/J749</f>
        <v>4.666666667</v>
      </c>
    </row>
    <row r="752">
      <c r="A752" s="48">
        <v>7.0</v>
      </c>
      <c r="B752" s="1">
        <v>0.0</v>
      </c>
      <c r="C752" s="1">
        <v>162.0</v>
      </c>
      <c r="D752" s="1">
        <v>0.0</v>
      </c>
      <c r="E752" s="1">
        <v>75.0</v>
      </c>
      <c r="F752" s="1">
        <v>25.0</v>
      </c>
      <c r="G752" s="51">
        <f t="shared" si="267"/>
        <v>0.1884</v>
      </c>
      <c r="H752" s="52">
        <f t="shared" si="268"/>
        <v>0.171</v>
      </c>
      <c r="I752" s="78">
        <f t="shared" si="269"/>
        <v>0.1797</v>
      </c>
      <c r="J752" s="10" t="s">
        <v>27</v>
      </c>
    </row>
    <row r="753">
      <c r="A753" s="48">
        <v>8.0</v>
      </c>
      <c r="B753" s="63">
        <v>0.0</v>
      </c>
      <c r="C753" s="41">
        <v>0.0</v>
      </c>
      <c r="D753" s="27">
        <v>0.0</v>
      </c>
      <c r="E753" s="27">
        <v>100.0</v>
      </c>
      <c r="F753" s="79">
        <v>25.0</v>
      </c>
      <c r="G753" s="51">
        <f t="shared" si="267"/>
        <v>0.156</v>
      </c>
      <c r="H753" s="52">
        <f t="shared" si="268"/>
        <v>0.176</v>
      </c>
      <c r="I753" s="13">
        <f t="shared" si="269"/>
        <v>0.166</v>
      </c>
      <c r="J753" s="13">
        <f>J749/J747</f>
        <v>0.2142857143</v>
      </c>
    </row>
    <row r="754">
      <c r="A754" s="48">
        <v>9.0</v>
      </c>
      <c r="B754" s="82">
        <v>0.0</v>
      </c>
      <c r="C754" s="38">
        <v>231.0</v>
      </c>
      <c r="D754" s="27">
        <v>0.0</v>
      </c>
      <c r="E754" s="27">
        <v>22.0</v>
      </c>
      <c r="F754" s="64">
        <v>24.0</v>
      </c>
      <c r="G754" s="51">
        <f t="shared" si="267"/>
        <v>0.2082</v>
      </c>
      <c r="H754" s="52">
        <f t="shared" si="268"/>
        <v>0.1664</v>
      </c>
      <c r="I754" s="85">
        <f t="shared" si="269"/>
        <v>0.1873</v>
      </c>
      <c r="J754" s="86"/>
    </row>
    <row r="755">
      <c r="A755" s="48">
        <v>10.0</v>
      </c>
      <c r="B755" s="82">
        <v>2.0</v>
      </c>
      <c r="C755" s="42">
        <v>446.0</v>
      </c>
      <c r="D755" s="27">
        <v>0.0</v>
      </c>
      <c r="E755" s="27">
        <v>152.0</v>
      </c>
      <c r="F755" s="87">
        <v>11.0</v>
      </c>
      <c r="G755" s="51">
        <f t="shared" si="267"/>
        <v>0.4292</v>
      </c>
      <c r="H755" s="52">
        <f t="shared" si="268"/>
        <v>0.2704</v>
      </c>
      <c r="I755" s="90">
        <f t="shared" si="269"/>
        <v>0.3498</v>
      </c>
      <c r="J755" s="91"/>
    </row>
    <row r="756">
      <c r="A756" s="43" t="s">
        <v>33</v>
      </c>
      <c r="B756" s="92">
        <f>SUM(B746:B755)</f>
        <v>14</v>
      </c>
      <c r="C756" s="93">
        <f>AVERAGE(C746:C755)</f>
        <v>257.3</v>
      </c>
      <c r="D756" s="93">
        <f>SUM(D746:D755)</f>
        <v>3</v>
      </c>
      <c r="E756" s="93">
        <f t="shared" ref="E756:F756" si="270">AVERAGE(E746:E755)</f>
        <v>79.4</v>
      </c>
      <c r="F756" s="94">
        <f t="shared" si="270"/>
        <v>21.2</v>
      </c>
      <c r="G756" s="95">
        <f t="shared" ref="G756:H756" si="271">Average(G746:G755)</f>
        <v>0.30026</v>
      </c>
      <c r="H756" s="96">
        <f t="shared" si="271"/>
        <v>0.20968</v>
      </c>
      <c r="I756" s="97">
        <f t="shared" si="269"/>
        <v>0.25497</v>
      </c>
      <c r="J756" s="98"/>
    </row>
    <row r="758">
      <c r="A758" s="43"/>
      <c r="B758" s="43" t="s">
        <v>0</v>
      </c>
      <c r="C758" s="44" t="s">
        <v>156</v>
      </c>
      <c r="D758" s="43" t="s">
        <v>2</v>
      </c>
      <c r="E758" s="43" t="str">
        <f>"Game on " &amp; MATCH(MAX(I760:I769), I760:I769, 0) + ROW(I760) - 1 &amp; ". row"
</f>
        <v>Game on 760. row</v>
      </c>
      <c r="F758" s="43"/>
      <c r="G758" s="43"/>
      <c r="H758" s="43"/>
      <c r="I758" s="45"/>
    </row>
    <row r="759">
      <c r="A759" s="44" t="s">
        <v>157</v>
      </c>
      <c r="B759" s="46" t="s">
        <v>4</v>
      </c>
      <c r="C759" s="46" t="s">
        <v>5</v>
      </c>
      <c r="D759" s="46" t="s">
        <v>6</v>
      </c>
      <c r="E759" s="46" t="s">
        <v>7</v>
      </c>
      <c r="F759" s="46" t="s">
        <v>8</v>
      </c>
      <c r="G759" s="46"/>
      <c r="H759" s="46"/>
      <c r="I759" s="47"/>
      <c r="J759" s="46"/>
    </row>
    <row r="760">
      <c r="A760" s="48">
        <v>1.0</v>
      </c>
      <c r="B760" s="1">
        <v>5.0</v>
      </c>
      <c r="C760" s="1">
        <v>381.0</v>
      </c>
      <c r="D760" s="1">
        <v>1.0</v>
      </c>
      <c r="E760" s="1">
        <v>230.0</v>
      </c>
      <c r="F760" s="1">
        <v>1.0</v>
      </c>
      <c r="G760" s="51">
        <f t="shared" ref="G760:G769" si="272">(B760*0.5 + C760/100*0.2 + (51 - F760)/5*0.3)/10</f>
        <v>0.6262</v>
      </c>
      <c r="H760" s="52">
        <f t="shared" ref="H760:H769" si="273">(D760*0.5 + E760/100*0.2 + (51 - F760)/5*0.3)/10</f>
        <v>0.396</v>
      </c>
      <c r="I760" s="53">
        <f t="shared" ref="I760:I770" si="274">AVERAGE(G760,H760)</f>
        <v>0.5111</v>
      </c>
      <c r="J760" s="1" t="s">
        <v>15</v>
      </c>
    </row>
    <row r="761">
      <c r="A761" s="48">
        <v>2.0</v>
      </c>
      <c r="B761" s="1">
        <v>0.0</v>
      </c>
      <c r="C761" s="1">
        <v>68.0</v>
      </c>
      <c r="D761" s="1">
        <v>0.0</v>
      </c>
      <c r="E761" s="1">
        <v>0.0</v>
      </c>
      <c r="F761" s="1">
        <v>29.0</v>
      </c>
      <c r="G761" s="51">
        <f t="shared" si="272"/>
        <v>0.1456</v>
      </c>
      <c r="H761" s="52">
        <f t="shared" si="273"/>
        <v>0.132</v>
      </c>
      <c r="I761" s="62">
        <f t="shared" si="274"/>
        <v>0.1388</v>
      </c>
      <c r="J761" s="6">
        <f>B770/10</f>
        <v>0.8</v>
      </c>
    </row>
    <row r="762">
      <c r="A762" s="48">
        <v>3.0</v>
      </c>
      <c r="B762" s="1">
        <v>0.0</v>
      </c>
      <c r="C762" s="1">
        <v>193.0</v>
      </c>
      <c r="D762" s="1">
        <v>0.0</v>
      </c>
      <c r="E762" s="1">
        <v>0.0</v>
      </c>
      <c r="F762" s="1">
        <v>22.0</v>
      </c>
      <c r="G762" s="51">
        <f t="shared" si="272"/>
        <v>0.2126</v>
      </c>
      <c r="H762" s="52">
        <f t="shared" si="273"/>
        <v>0.174</v>
      </c>
      <c r="I762" s="62">
        <f t="shared" si="274"/>
        <v>0.1933</v>
      </c>
      <c r="J762" s="1" t="s">
        <v>19</v>
      </c>
    </row>
    <row r="763">
      <c r="A763" s="48">
        <v>4.0</v>
      </c>
      <c r="B763" s="1">
        <v>2.0</v>
      </c>
      <c r="C763" s="1">
        <v>152.0</v>
      </c>
      <c r="D763" s="1">
        <v>0.0</v>
      </c>
      <c r="E763" s="1">
        <v>94.0</v>
      </c>
      <c r="F763" s="1">
        <v>25.0</v>
      </c>
      <c r="G763" s="51">
        <f t="shared" si="272"/>
        <v>0.2864</v>
      </c>
      <c r="H763" s="52">
        <f t="shared" si="273"/>
        <v>0.1748</v>
      </c>
      <c r="I763" s="67">
        <f t="shared" si="274"/>
        <v>0.2306</v>
      </c>
      <c r="J763" s="6">
        <f>D770/10</f>
        <v>0.1</v>
      </c>
    </row>
    <row r="764">
      <c r="A764" s="48">
        <v>5.0</v>
      </c>
      <c r="B764" s="1">
        <v>0.0</v>
      </c>
      <c r="C764" s="1">
        <v>25.0</v>
      </c>
      <c r="D764" s="1">
        <v>0.0</v>
      </c>
      <c r="E764" s="1">
        <v>19.0</v>
      </c>
      <c r="F764" s="1">
        <v>32.0</v>
      </c>
      <c r="G764" s="51">
        <f t="shared" si="272"/>
        <v>0.119</v>
      </c>
      <c r="H764" s="52">
        <f t="shared" si="273"/>
        <v>0.1178</v>
      </c>
      <c r="I764" s="72">
        <f t="shared" si="274"/>
        <v>0.1184</v>
      </c>
      <c r="J764" s="7" t="s">
        <v>23</v>
      </c>
    </row>
    <row r="765">
      <c r="A765" s="48">
        <v>6.0</v>
      </c>
      <c r="B765" s="1">
        <v>0.0</v>
      </c>
      <c r="C765" s="1">
        <v>26.0</v>
      </c>
      <c r="D765" s="1">
        <v>0.0</v>
      </c>
      <c r="E765" s="1">
        <v>70.0</v>
      </c>
      <c r="F765" s="1">
        <v>35.0</v>
      </c>
      <c r="G765" s="51">
        <f t="shared" si="272"/>
        <v>0.1012</v>
      </c>
      <c r="H765" s="52">
        <f t="shared" si="273"/>
        <v>0.11</v>
      </c>
      <c r="I765" s="72">
        <f t="shared" si="274"/>
        <v>0.1056</v>
      </c>
      <c r="J765" s="8">
        <f>J761/J763</f>
        <v>8</v>
      </c>
    </row>
    <row r="766">
      <c r="A766" s="48">
        <v>7.0</v>
      </c>
      <c r="B766" s="1">
        <v>0.0</v>
      </c>
      <c r="C766" s="1">
        <v>110.0</v>
      </c>
      <c r="D766" s="1">
        <v>0.0</v>
      </c>
      <c r="E766" s="1">
        <v>0.0</v>
      </c>
      <c r="F766" s="1">
        <v>46.0</v>
      </c>
      <c r="G766" s="51">
        <f t="shared" si="272"/>
        <v>0.052</v>
      </c>
      <c r="H766" s="52">
        <f t="shared" si="273"/>
        <v>0.03</v>
      </c>
      <c r="I766" s="78">
        <f t="shared" si="274"/>
        <v>0.041</v>
      </c>
      <c r="J766" s="10" t="s">
        <v>27</v>
      </c>
    </row>
    <row r="767">
      <c r="A767" s="48">
        <v>8.0</v>
      </c>
      <c r="B767" s="63">
        <v>1.0</v>
      </c>
      <c r="C767" s="41">
        <v>100.0</v>
      </c>
      <c r="D767" s="27">
        <v>0.0</v>
      </c>
      <c r="E767" s="27">
        <v>43.0</v>
      </c>
      <c r="F767" s="79">
        <v>7.0</v>
      </c>
      <c r="G767" s="51">
        <f t="shared" si="272"/>
        <v>0.334</v>
      </c>
      <c r="H767" s="52">
        <f t="shared" si="273"/>
        <v>0.2726</v>
      </c>
      <c r="I767" s="13">
        <f t="shared" si="274"/>
        <v>0.3033</v>
      </c>
      <c r="J767" s="13">
        <f>J763/J761</f>
        <v>0.125</v>
      </c>
    </row>
    <row r="768">
      <c r="A768" s="48">
        <v>9.0</v>
      </c>
      <c r="B768" s="1">
        <v>0.0</v>
      </c>
      <c r="C768" s="1">
        <v>0.0</v>
      </c>
      <c r="D768" s="1">
        <v>0.0</v>
      </c>
      <c r="E768" s="1">
        <v>0.0</v>
      </c>
      <c r="F768" s="1">
        <v>22.0</v>
      </c>
      <c r="G768" s="51">
        <f t="shared" si="272"/>
        <v>0.174</v>
      </c>
      <c r="H768" s="52">
        <f t="shared" si="273"/>
        <v>0.174</v>
      </c>
      <c r="I768" s="85">
        <f t="shared" si="274"/>
        <v>0.174</v>
      </c>
      <c r="J768" s="86"/>
    </row>
    <row r="769">
      <c r="A769" s="48">
        <v>10.0</v>
      </c>
      <c r="B769" s="1">
        <v>0.0</v>
      </c>
      <c r="C769" s="1">
        <v>100.0</v>
      </c>
      <c r="D769" s="1">
        <v>0.0</v>
      </c>
      <c r="E769" s="1">
        <v>0.0</v>
      </c>
      <c r="F769" s="1">
        <v>20.0</v>
      </c>
      <c r="G769" s="51">
        <f t="shared" si="272"/>
        <v>0.206</v>
      </c>
      <c r="H769" s="52">
        <f t="shared" si="273"/>
        <v>0.186</v>
      </c>
      <c r="I769" s="90">
        <f t="shared" si="274"/>
        <v>0.196</v>
      </c>
      <c r="J769" s="91"/>
    </row>
    <row r="770">
      <c r="A770" s="43" t="s">
        <v>33</v>
      </c>
      <c r="B770" s="92">
        <f>SUM(B760:B769)</f>
        <v>8</v>
      </c>
      <c r="C770" s="93">
        <f>AVERAGE(C760:C769)</f>
        <v>115.5</v>
      </c>
      <c r="D770" s="93">
        <f>SUM(D760:D769)</f>
        <v>1</v>
      </c>
      <c r="E770" s="93">
        <f t="shared" ref="E770:F770" si="275">AVERAGE(E760:E769)</f>
        <v>45.6</v>
      </c>
      <c r="F770" s="94">
        <f t="shared" si="275"/>
        <v>23.9</v>
      </c>
      <c r="G770" s="95">
        <f t="shared" ref="G770:H770" si="276">Average(G760:G769)</f>
        <v>0.2257</v>
      </c>
      <c r="H770" s="96">
        <f t="shared" si="276"/>
        <v>0.17672</v>
      </c>
      <c r="I770" s="97">
        <f t="shared" si="274"/>
        <v>0.20121</v>
      </c>
      <c r="J770" s="98"/>
    </row>
    <row r="772">
      <c r="A772" s="43"/>
      <c r="B772" s="43" t="s">
        <v>0</v>
      </c>
      <c r="C772" s="44" t="s">
        <v>158</v>
      </c>
      <c r="D772" s="43" t="s">
        <v>2</v>
      </c>
      <c r="E772" s="43" t="str">
        <f>"Game on " &amp; MATCH(MAX(I774:I783), I774:I783, 0) + ROW(I774) - 1 &amp; ". row"
</f>
        <v>Game on 782. row</v>
      </c>
      <c r="F772" s="43"/>
      <c r="G772" s="43"/>
      <c r="H772" s="43"/>
      <c r="I772" s="45"/>
    </row>
    <row r="773">
      <c r="A773" s="44" t="s">
        <v>159</v>
      </c>
      <c r="B773" s="46" t="s">
        <v>4</v>
      </c>
      <c r="C773" s="46" t="s">
        <v>5</v>
      </c>
      <c r="D773" s="46" t="s">
        <v>6</v>
      </c>
      <c r="E773" s="46" t="s">
        <v>7</v>
      </c>
      <c r="F773" s="46" t="s">
        <v>8</v>
      </c>
      <c r="G773" s="46"/>
      <c r="H773" s="46"/>
      <c r="I773" s="47"/>
      <c r="J773" s="46"/>
    </row>
    <row r="774">
      <c r="A774" s="48">
        <v>1.0</v>
      </c>
      <c r="B774" s="1">
        <v>2.0</v>
      </c>
      <c r="C774" s="1">
        <v>688.0</v>
      </c>
      <c r="D774" s="1">
        <v>0.0</v>
      </c>
      <c r="E774" s="1">
        <v>0.0</v>
      </c>
      <c r="F774" s="1">
        <v>8.0</v>
      </c>
      <c r="G774" s="51">
        <f t="shared" ref="G774:G783" si="277">(B774*0.5 + C774/100*0.2 + (51 - F774)/5*0.3)/10</f>
        <v>0.4956</v>
      </c>
      <c r="H774" s="52">
        <f t="shared" ref="H774:H783" si="278">(D774*0.5 + E774/100*0.2 + (51 - F774)/5*0.3)/10</f>
        <v>0.258</v>
      </c>
      <c r="I774" s="53">
        <f t="shared" ref="I774:I784" si="279">AVERAGE(G774,H774)</f>
        <v>0.3768</v>
      </c>
      <c r="J774" s="1" t="s">
        <v>15</v>
      </c>
    </row>
    <row r="775">
      <c r="A775" s="48">
        <v>2.0</v>
      </c>
      <c r="B775" s="1">
        <v>2.0</v>
      </c>
      <c r="C775" s="1">
        <v>119.0</v>
      </c>
      <c r="D775" s="1">
        <v>0.0</v>
      </c>
      <c r="E775" s="1">
        <v>221.0</v>
      </c>
      <c r="F775" s="1">
        <v>16.0</v>
      </c>
      <c r="G775" s="51">
        <f t="shared" si="277"/>
        <v>0.3338</v>
      </c>
      <c r="H775" s="52">
        <f t="shared" si="278"/>
        <v>0.2542</v>
      </c>
      <c r="I775" s="62">
        <f t="shared" si="279"/>
        <v>0.294</v>
      </c>
      <c r="J775" s="6">
        <f>B784/10</f>
        <v>1.6</v>
      </c>
    </row>
    <row r="776">
      <c r="A776" s="48">
        <v>3.0</v>
      </c>
      <c r="B776" s="1">
        <v>4.0</v>
      </c>
      <c r="C776" s="1">
        <v>489.0</v>
      </c>
      <c r="D776" s="1">
        <v>0.0</v>
      </c>
      <c r="E776" s="1">
        <v>88.0</v>
      </c>
      <c r="F776" s="1">
        <v>16.0</v>
      </c>
      <c r="G776" s="51">
        <f t="shared" si="277"/>
        <v>0.5078</v>
      </c>
      <c r="H776" s="52">
        <f t="shared" si="278"/>
        <v>0.2276</v>
      </c>
      <c r="I776" s="62">
        <f t="shared" si="279"/>
        <v>0.3677</v>
      </c>
      <c r="J776" s="1" t="s">
        <v>19</v>
      </c>
    </row>
    <row r="777">
      <c r="A777" s="48">
        <v>4.0</v>
      </c>
      <c r="B777" s="1">
        <v>0.0</v>
      </c>
      <c r="C777" s="1">
        <v>0.0</v>
      </c>
      <c r="D777" s="1">
        <v>1.0</v>
      </c>
      <c r="E777" s="1">
        <v>68.0</v>
      </c>
      <c r="F777" s="1">
        <v>39.0</v>
      </c>
      <c r="G777" s="51">
        <f t="shared" si="277"/>
        <v>0.072</v>
      </c>
      <c r="H777" s="52">
        <f t="shared" si="278"/>
        <v>0.1356</v>
      </c>
      <c r="I777" s="67">
        <f t="shared" si="279"/>
        <v>0.1038</v>
      </c>
      <c r="J777" s="6">
        <f>D784/10</f>
        <v>0.4</v>
      </c>
    </row>
    <row r="778">
      <c r="A778" s="48">
        <v>5.0</v>
      </c>
      <c r="B778" s="1">
        <v>2.0</v>
      </c>
      <c r="C778" s="1">
        <v>388.0</v>
      </c>
      <c r="D778" s="1">
        <v>0.0</v>
      </c>
      <c r="E778" s="1">
        <v>188.0</v>
      </c>
      <c r="F778" s="1">
        <v>23.0</v>
      </c>
      <c r="G778" s="51">
        <f t="shared" si="277"/>
        <v>0.3456</v>
      </c>
      <c r="H778" s="52">
        <f t="shared" si="278"/>
        <v>0.2056</v>
      </c>
      <c r="I778" s="72">
        <f t="shared" si="279"/>
        <v>0.2756</v>
      </c>
      <c r="J778" s="7" t="s">
        <v>23</v>
      </c>
    </row>
    <row r="779">
      <c r="A779" s="48">
        <v>6.0</v>
      </c>
      <c r="B779" s="1">
        <v>2.0</v>
      </c>
      <c r="C779" s="1">
        <v>384.0</v>
      </c>
      <c r="D779" s="1">
        <v>0.0</v>
      </c>
      <c r="E779" s="1">
        <v>127.0</v>
      </c>
      <c r="F779" s="1">
        <v>21.0</v>
      </c>
      <c r="G779" s="51">
        <f t="shared" si="277"/>
        <v>0.3568</v>
      </c>
      <c r="H779" s="52">
        <f t="shared" si="278"/>
        <v>0.2054</v>
      </c>
      <c r="I779" s="72">
        <f t="shared" si="279"/>
        <v>0.2811</v>
      </c>
      <c r="J779" s="8">
        <f>J775/J777</f>
        <v>4</v>
      </c>
    </row>
    <row r="780">
      <c r="A780" s="48">
        <v>7.0</v>
      </c>
      <c r="B780" s="1">
        <v>0.0</v>
      </c>
      <c r="C780" s="1">
        <v>98.0</v>
      </c>
      <c r="D780" s="1">
        <v>0.0</v>
      </c>
      <c r="E780" s="1">
        <v>0.0</v>
      </c>
      <c r="F780" s="1">
        <v>29.0</v>
      </c>
      <c r="G780" s="51">
        <f t="shared" si="277"/>
        <v>0.1516</v>
      </c>
      <c r="H780" s="52">
        <f t="shared" si="278"/>
        <v>0.132</v>
      </c>
      <c r="I780" s="78">
        <f t="shared" si="279"/>
        <v>0.1418</v>
      </c>
      <c r="J780" s="10" t="s">
        <v>27</v>
      </c>
    </row>
    <row r="781">
      <c r="A781" s="48">
        <v>8.0</v>
      </c>
      <c r="B781" s="63">
        <v>0.0</v>
      </c>
      <c r="C781" s="41">
        <v>128.0</v>
      </c>
      <c r="D781" s="27">
        <v>1.0</v>
      </c>
      <c r="E781" s="27">
        <v>66.0</v>
      </c>
      <c r="F781" s="79">
        <v>10.0</v>
      </c>
      <c r="G781" s="51">
        <f t="shared" si="277"/>
        <v>0.2716</v>
      </c>
      <c r="H781" s="52">
        <f t="shared" si="278"/>
        <v>0.3092</v>
      </c>
      <c r="I781" s="13">
        <f t="shared" si="279"/>
        <v>0.2904</v>
      </c>
      <c r="J781" s="13">
        <f>J777/J775</f>
        <v>0.25</v>
      </c>
    </row>
    <row r="782">
      <c r="A782" s="48">
        <v>9.0</v>
      </c>
      <c r="B782" s="1">
        <v>2.0</v>
      </c>
      <c r="C782" s="1">
        <v>243.0</v>
      </c>
      <c r="D782" s="1">
        <v>2.0</v>
      </c>
      <c r="E782" s="1">
        <v>159.0</v>
      </c>
      <c r="F782" s="1">
        <v>4.0</v>
      </c>
      <c r="G782" s="51">
        <f t="shared" si="277"/>
        <v>0.4306</v>
      </c>
      <c r="H782" s="52">
        <f t="shared" si="278"/>
        <v>0.4138</v>
      </c>
      <c r="I782" s="85">
        <f t="shared" si="279"/>
        <v>0.4222</v>
      </c>
      <c r="J782" s="86"/>
    </row>
    <row r="783">
      <c r="A783" s="48">
        <v>10.0</v>
      </c>
      <c r="B783" s="82">
        <v>2.0</v>
      </c>
      <c r="C783" s="42">
        <v>335.0</v>
      </c>
      <c r="D783" s="27">
        <v>0.0</v>
      </c>
      <c r="E783" s="27">
        <v>0.0</v>
      </c>
      <c r="F783" s="87">
        <v>35.0</v>
      </c>
      <c r="G783" s="51">
        <f t="shared" si="277"/>
        <v>0.263</v>
      </c>
      <c r="H783" s="52">
        <f t="shared" si="278"/>
        <v>0.096</v>
      </c>
      <c r="I783" s="90">
        <f t="shared" si="279"/>
        <v>0.1795</v>
      </c>
      <c r="J783" s="91"/>
    </row>
    <row r="784">
      <c r="A784" s="43" t="s">
        <v>33</v>
      </c>
      <c r="B784" s="92">
        <f>SUM(B774:B783)</f>
        <v>16</v>
      </c>
      <c r="C784" s="93">
        <f>AVERAGE(C774:C783)</f>
        <v>287.2</v>
      </c>
      <c r="D784" s="93">
        <f>SUM(D774:D783)</f>
        <v>4</v>
      </c>
      <c r="E784" s="93">
        <f t="shared" ref="E784:F784" si="280">AVERAGE(E774:E783)</f>
        <v>91.7</v>
      </c>
      <c r="F784" s="94">
        <f t="shared" si="280"/>
        <v>20.1</v>
      </c>
      <c r="G784" s="95">
        <f t="shared" ref="G784:H784" si="281">Average(G774:G783)</f>
        <v>0.32284</v>
      </c>
      <c r="H784" s="96">
        <f t="shared" si="281"/>
        <v>0.22374</v>
      </c>
      <c r="I784" s="97">
        <f t="shared" si="279"/>
        <v>0.27329</v>
      </c>
      <c r="J784" s="98"/>
    </row>
    <row r="786">
      <c r="A786" s="43"/>
      <c r="B786" s="43" t="s">
        <v>0</v>
      </c>
      <c r="C786" s="44" t="s">
        <v>160</v>
      </c>
      <c r="D786" s="43" t="s">
        <v>2</v>
      </c>
      <c r="E786" s="43" t="str">
        <f>"Game on " &amp; MATCH(MAX(I788:I797), I788:I797, 0) + ROW(I788) - 1 &amp; ". row"
</f>
        <v>Game on 793. row</v>
      </c>
      <c r="F786" s="43"/>
      <c r="G786" s="43"/>
      <c r="H786" s="43"/>
      <c r="I786" s="45"/>
    </row>
    <row r="787">
      <c r="A787" s="44" t="s">
        <v>161</v>
      </c>
      <c r="B787" s="46" t="s">
        <v>4</v>
      </c>
      <c r="C787" s="46" t="s">
        <v>5</v>
      </c>
      <c r="D787" s="46" t="s">
        <v>6</v>
      </c>
      <c r="E787" s="46" t="s">
        <v>7</v>
      </c>
      <c r="F787" s="46" t="s">
        <v>8</v>
      </c>
      <c r="G787" s="46"/>
      <c r="H787" s="46"/>
      <c r="I787" s="47"/>
      <c r="J787" s="46"/>
    </row>
    <row r="788">
      <c r="A788" s="48">
        <v>1.0</v>
      </c>
      <c r="B788" s="1">
        <v>2.0</v>
      </c>
      <c r="C788" s="1">
        <v>261.0</v>
      </c>
      <c r="D788" s="1">
        <v>0.0</v>
      </c>
      <c r="E788" s="1">
        <v>120.0</v>
      </c>
      <c r="F788" s="1">
        <v>30.0</v>
      </c>
      <c r="G788" s="51">
        <f t="shared" ref="G788:G797" si="282">(B788*0.5 + C788/100*0.2 + (51 - F788)/5*0.3)/10</f>
        <v>0.2782</v>
      </c>
      <c r="H788" s="52">
        <f t="shared" ref="H788:H797" si="283">(D788*0.5 + E788/100*0.2 + (51 - F788)/5*0.3)/10</f>
        <v>0.15</v>
      </c>
      <c r="I788" s="53">
        <f t="shared" ref="I788:I798" si="284">AVERAGE(G788,H788)</f>
        <v>0.2141</v>
      </c>
      <c r="J788" s="1" t="s">
        <v>15</v>
      </c>
    </row>
    <row r="789">
      <c r="A789" s="48">
        <v>2.0</v>
      </c>
      <c r="B789" s="1">
        <v>0.0</v>
      </c>
      <c r="C789" s="1">
        <v>50.0</v>
      </c>
      <c r="D789" s="1">
        <v>0.0</v>
      </c>
      <c r="E789" s="1">
        <v>80.0</v>
      </c>
      <c r="F789" s="1">
        <v>8.0</v>
      </c>
      <c r="G789" s="51">
        <f t="shared" si="282"/>
        <v>0.268</v>
      </c>
      <c r="H789" s="52">
        <f t="shared" si="283"/>
        <v>0.274</v>
      </c>
      <c r="I789" s="62">
        <f t="shared" si="284"/>
        <v>0.271</v>
      </c>
      <c r="J789" s="6">
        <f>B798/10</f>
        <v>0.9</v>
      </c>
    </row>
    <row r="790">
      <c r="A790" s="48">
        <v>3.0</v>
      </c>
      <c r="B790" s="1">
        <v>0.0</v>
      </c>
      <c r="C790" s="1">
        <v>0.0</v>
      </c>
      <c r="D790" s="1">
        <v>2.0</v>
      </c>
      <c r="E790" s="1">
        <v>180.0</v>
      </c>
      <c r="F790" s="1">
        <v>10.0</v>
      </c>
      <c r="G790" s="51">
        <f t="shared" si="282"/>
        <v>0.246</v>
      </c>
      <c r="H790" s="52">
        <f t="shared" si="283"/>
        <v>0.382</v>
      </c>
      <c r="I790" s="62">
        <f t="shared" si="284"/>
        <v>0.314</v>
      </c>
      <c r="J790" s="1" t="s">
        <v>19</v>
      </c>
    </row>
    <row r="791">
      <c r="A791" s="48">
        <v>4.0</v>
      </c>
      <c r="B791" s="1">
        <v>2.0</v>
      </c>
      <c r="C791" s="1">
        <v>310.0</v>
      </c>
      <c r="D791" s="1">
        <v>2.0</v>
      </c>
      <c r="E791" s="1">
        <v>282.0</v>
      </c>
      <c r="F791" s="1">
        <v>20.0</v>
      </c>
      <c r="G791" s="51">
        <f t="shared" si="282"/>
        <v>0.348</v>
      </c>
      <c r="H791" s="52">
        <f t="shared" si="283"/>
        <v>0.3424</v>
      </c>
      <c r="I791" s="67">
        <f t="shared" si="284"/>
        <v>0.3452</v>
      </c>
      <c r="J791" s="6">
        <f>D798/10</f>
        <v>0.6</v>
      </c>
    </row>
    <row r="792">
      <c r="A792" s="48">
        <v>5.0</v>
      </c>
      <c r="B792" s="1">
        <v>1.0</v>
      </c>
      <c r="C792" s="1">
        <v>316.0</v>
      </c>
      <c r="D792" s="1">
        <v>0.0</v>
      </c>
      <c r="E792" s="1">
        <v>159.0</v>
      </c>
      <c r="F792" s="1">
        <v>27.0</v>
      </c>
      <c r="G792" s="51">
        <f t="shared" si="282"/>
        <v>0.2572</v>
      </c>
      <c r="H792" s="52">
        <f t="shared" si="283"/>
        <v>0.1758</v>
      </c>
      <c r="I792" s="72">
        <f t="shared" si="284"/>
        <v>0.2165</v>
      </c>
      <c r="J792" s="7" t="s">
        <v>23</v>
      </c>
    </row>
    <row r="793">
      <c r="A793" s="48">
        <v>6.0</v>
      </c>
      <c r="B793" s="1">
        <v>3.0</v>
      </c>
      <c r="C793" s="1">
        <v>349.0</v>
      </c>
      <c r="D793" s="1">
        <v>2.0</v>
      </c>
      <c r="E793" s="1">
        <v>155.0</v>
      </c>
      <c r="F793" s="1">
        <v>16.0</v>
      </c>
      <c r="G793" s="51">
        <f t="shared" si="282"/>
        <v>0.4298</v>
      </c>
      <c r="H793" s="52">
        <f t="shared" si="283"/>
        <v>0.341</v>
      </c>
      <c r="I793" s="72">
        <f t="shared" si="284"/>
        <v>0.3854</v>
      </c>
      <c r="J793" s="8">
        <f>J789/J791</f>
        <v>1.5</v>
      </c>
    </row>
    <row r="794">
      <c r="A794" s="48">
        <v>7.0</v>
      </c>
      <c r="B794" s="1">
        <v>0.0</v>
      </c>
      <c r="C794" s="1">
        <v>100.0</v>
      </c>
      <c r="D794" s="1">
        <v>0.0</v>
      </c>
      <c r="E794" s="1">
        <v>173.0</v>
      </c>
      <c r="F794" s="1">
        <v>28.0</v>
      </c>
      <c r="G794" s="51">
        <f t="shared" si="282"/>
        <v>0.158</v>
      </c>
      <c r="H794" s="52">
        <f t="shared" si="283"/>
        <v>0.1726</v>
      </c>
      <c r="I794" s="78">
        <f t="shared" si="284"/>
        <v>0.1653</v>
      </c>
      <c r="J794" s="10" t="s">
        <v>27</v>
      </c>
    </row>
    <row r="795">
      <c r="A795" s="48">
        <v>8.0</v>
      </c>
      <c r="B795" s="63">
        <v>0.0</v>
      </c>
      <c r="C795" s="41">
        <v>0.0</v>
      </c>
      <c r="D795" s="27">
        <v>0.0</v>
      </c>
      <c r="E795" s="27">
        <v>77.0</v>
      </c>
      <c r="F795" s="79">
        <v>44.0</v>
      </c>
      <c r="G795" s="51">
        <f t="shared" si="282"/>
        <v>0.042</v>
      </c>
      <c r="H795" s="52">
        <f t="shared" si="283"/>
        <v>0.0574</v>
      </c>
      <c r="I795" s="13">
        <f t="shared" si="284"/>
        <v>0.0497</v>
      </c>
      <c r="J795" s="13">
        <f>J791/J789</f>
        <v>0.6666666667</v>
      </c>
    </row>
    <row r="796">
      <c r="A796" s="48">
        <v>9.0</v>
      </c>
      <c r="B796" s="82">
        <v>0.0</v>
      </c>
      <c r="C796" s="38">
        <v>225.0</v>
      </c>
      <c r="D796" s="27">
        <v>0.0</v>
      </c>
      <c r="E796" s="27">
        <v>92.0</v>
      </c>
      <c r="F796" s="64">
        <v>41.0</v>
      </c>
      <c r="G796" s="51">
        <f t="shared" si="282"/>
        <v>0.105</v>
      </c>
      <c r="H796" s="52">
        <f t="shared" si="283"/>
        <v>0.0784</v>
      </c>
      <c r="I796" s="85">
        <f t="shared" si="284"/>
        <v>0.0917</v>
      </c>
      <c r="J796" s="86"/>
    </row>
    <row r="797">
      <c r="A797" s="48">
        <v>10.0</v>
      </c>
      <c r="B797" s="82">
        <v>1.0</v>
      </c>
      <c r="C797" s="42">
        <v>100.0</v>
      </c>
      <c r="D797" s="27">
        <v>0.0</v>
      </c>
      <c r="E797" s="27">
        <v>0.0</v>
      </c>
      <c r="F797" s="87">
        <v>41.0</v>
      </c>
      <c r="G797" s="51">
        <f t="shared" si="282"/>
        <v>0.13</v>
      </c>
      <c r="H797" s="52">
        <f t="shared" si="283"/>
        <v>0.06</v>
      </c>
      <c r="I797" s="90">
        <f t="shared" si="284"/>
        <v>0.095</v>
      </c>
      <c r="J797" s="91"/>
    </row>
    <row r="798">
      <c r="A798" s="43" t="s">
        <v>33</v>
      </c>
      <c r="B798" s="92">
        <f>SUM(B788:B797)</f>
        <v>9</v>
      </c>
      <c r="C798" s="93">
        <f>AVERAGE(C788:C797)</f>
        <v>171.1</v>
      </c>
      <c r="D798" s="93">
        <f>SUM(D788:D797)</f>
        <v>6</v>
      </c>
      <c r="E798" s="93">
        <f t="shared" ref="E798:F798" si="285">AVERAGE(E788:E797)</f>
        <v>131.8</v>
      </c>
      <c r="F798" s="94">
        <f t="shared" si="285"/>
        <v>26.5</v>
      </c>
      <c r="G798" s="95">
        <f t="shared" ref="G798:H798" si="286">Average(G788:G797)</f>
        <v>0.22622</v>
      </c>
      <c r="H798" s="96">
        <f t="shared" si="286"/>
        <v>0.20336</v>
      </c>
      <c r="I798" s="97">
        <f t="shared" si="284"/>
        <v>0.21479</v>
      </c>
      <c r="J798" s="98"/>
    </row>
    <row r="800">
      <c r="A800" s="43"/>
      <c r="B800" s="43" t="s">
        <v>0</v>
      </c>
      <c r="C800" s="44" t="s">
        <v>160</v>
      </c>
      <c r="D800" s="43" t="s">
        <v>2</v>
      </c>
      <c r="E800" s="43" t="str">
        <f>"Game on " &amp; MATCH(MAX(I802:I811), I802:I811, 0) + ROW(I802) - 1 &amp; ". row"
</f>
        <v>Game on 804. row</v>
      </c>
      <c r="F800" s="43"/>
      <c r="G800" s="43"/>
      <c r="H800" s="43"/>
      <c r="I800" s="45"/>
    </row>
    <row r="801">
      <c r="A801" s="44" t="s">
        <v>162</v>
      </c>
      <c r="B801" s="46" t="s">
        <v>4</v>
      </c>
      <c r="C801" s="46" t="s">
        <v>5</v>
      </c>
      <c r="D801" s="46" t="s">
        <v>6</v>
      </c>
      <c r="E801" s="46" t="s">
        <v>7</v>
      </c>
      <c r="F801" s="46" t="s">
        <v>8</v>
      </c>
      <c r="G801" s="46"/>
      <c r="H801" s="46"/>
      <c r="I801" s="47"/>
      <c r="J801" s="46"/>
    </row>
    <row r="802">
      <c r="A802" s="48">
        <v>1.0</v>
      </c>
      <c r="B802" s="1">
        <v>3.0</v>
      </c>
      <c r="C802" s="1">
        <v>329.0</v>
      </c>
      <c r="D802" s="1">
        <v>1.0</v>
      </c>
      <c r="E802" s="1">
        <v>168.0</v>
      </c>
      <c r="F802" s="1">
        <v>9.0</v>
      </c>
      <c r="G802" s="51">
        <f t="shared" ref="G802:G811" si="287">(B802*0.5 + C802/100*0.2 + (51 - F802)/5*0.3)/10</f>
        <v>0.4678</v>
      </c>
      <c r="H802" s="52">
        <f t="shared" ref="H802:H811" si="288">(D802*0.5 + E802/100*0.2 + (51 - F802)/5*0.3)/10</f>
        <v>0.3356</v>
      </c>
      <c r="I802" s="53">
        <f t="shared" ref="I802:I812" si="289">AVERAGE(G802,H802)</f>
        <v>0.4017</v>
      </c>
      <c r="J802" s="1" t="s">
        <v>15</v>
      </c>
    </row>
    <row r="803">
      <c r="A803" s="48">
        <v>2.0</v>
      </c>
      <c r="B803" s="1">
        <v>1.0</v>
      </c>
      <c r="C803" s="1">
        <v>90.0</v>
      </c>
      <c r="D803" s="1">
        <v>0.0</v>
      </c>
      <c r="E803" s="1">
        <v>89.0</v>
      </c>
      <c r="F803" s="1">
        <v>27.0</v>
      </c>
      <c r="G803" s="51">
        <f t="shared" si="287"/>
        <v>0.212</v>
      </c>
      <c r="H803" s="52">
        <f t="shared" si="288"/>
        <v>0.1618</v>
      </c>
      <c r="I803" s="62">
        <f t="shared" si="289"/>
        <v>0.1869</v>
      </c>
      <c r="J803" s="6">
        <f>B812/10</f>
        <v>1.3</v>
      </c>
    </row>
    <row r="804">
      <c r="A804" s="48">
        <v>3.0</v>
      </c>
      <c r="B804" s="1">
        <v>6.0</v>
      </c>
      <c r="C804" s="1">
        <v>646.0</v>
      </c>
      <c r="D804" s="1">
        <v>3.0</v>
      </c>
      <c r="E804" s="1">
        <v>260.0</v>
      </c>
      <c r="F804" s="1">
        <v>2.0</v>
      </c>
      <c r="G804" s="51">
        <f t="shared" si="287"/>
        <v>0.7232</v>
      </c>
      <c r="H804" s="52">
        <f t="shared" si="288"/>
        <v>0.496</v>
      </c>
      <c r="I804" s="62">
        <f t="shared" si="289"/>
        <v>0.6096</v>
      </c>
      <c r="J804" s="1" t="s">
        <v>19</v>
      </c>
    </row>
    <row r="805">
      <c r="A805" s="48">
        <v>4.0</v>
      </c>
      <c r="B805" s="1">
        <v>0.0</v>
      </c>
      <c r="C805" s="1">
        <v>0.0</v>
      </c>
      <c r="D805" s="1">
        <v>0.0</v>
      </c>
      <c r="E805" s="1">
        <v>0.0</v>
      </c>
      <c r="F805" s="1">
        <v>34.0</v>
      </c>
      <c r="G805" s="51">
        <f t="shared" si="287"/>
        <v>0.102</v>
      </c>
      <c r="H805" s="52">
        <f t="shared" si="288"/>
        <v>0.102</v>
      </c>
      <c r="I805" s="67">
        <f t="shared" si="289"/>
        <v>0.102</v>
      </c>
      <c r="J805" s="6">
        <f>D812/10</f>
        <v>0.8</v>
      </c>
    </row>
    <row r="806">
      <c r="A806" s="48">
        <v>5.0</v>
      </c>
      <c r="B806" s="1">
        <v>0.0</v>
      </c>
      <c r="C806" s="1">
        <v>0.0</v>
      </c>
      <c r="D806" s="1">
        <v>0.0</v>
      </c>
      <c r="E806" s="1">
        <v>200.0</v>
      </c>
      <c r="F806" s="1">
        <v>33.0</v>
      </c>
      <c r="G806" s="51">
        <f t="shared" si="287"/>
        <v>0.108</v>
      </c>
      <c r="H806" s="52">
        <f t="shared" si="288"/>
        <v>0.148</v>
      </c>
      <c r="I806" s="72">
        <f t="shared" si="289"/>
        <v>0.128</v>
      </c>
      <c r="J806" s="7" t="s">
        <v>23</v>
      </c>
    </row>
    <row r="807">
      <c r="A807" s="48">
        <v>6.0</v>
      </c>
      <c r="B807" s="1">
        <v>0.0</v>
      </c>
      <c r="C807" s="1">
        <v>284.0</v>
      </c>
      <c r="D807" s="1">
        <v>0.0</v>
      </c>
      <c r="E807" s="1">
        <v>90.0</v>
      </c>
      <c r="F807" s="1">
        <v>15.0</v>
      </c>
      <c r="G807" s="51">
        <f t="shared" si="287"/>
        <v>0.2728</v>
      </c>
      <c r="H807" s="52">
        <f t="shared" si="288"/>
        <v>0.234</v>
      </c>
      <c r="I807" s="72">
        <f t="shared" si="289"/>
        <v>0.2534</v>
      </c>
      <c r="J807" s="8">
        <f>J803/J805</f>
        <v>1.625</v>
      </c>
    </row>
    <row r="808">
      <c r="A808" s="48">
        <v>7.0</v>
      </c>
      <c r="B808" s="1">
        <v>2.0</v>
      </c>
      <c r="C808" s="1">
        <v>310.0</v>
      </c>
      <c r="D808" s="1">
        <v>0.0</v>
      </c>
      <c r="E808" s="1">
        <v>73.0</v>
      </c>
      <c r="F808" s="1">
        <v>24.0</v>
      </c>
      <c r="G808" s="51">
        <f t="shared" si="287"/>
        <v>0.324</v>
      </c>
      <c r="H808" s="52">
        <f t="shared" si="288"/>
        <v>0.1766</v>
      </c>
      <c r="I808" s="78">
        <f t="shared" si="289"/>
        <v>0.2503</v>
      </c>
      <c r="J808" s="10" t="s">
        <v>27</v>
      </c>
    </row>
    <row r="809">
      <c r="A809" s="48">
        <v>8.0</v>
      </c>
      <c r="B809" s="63">
        <v>1.0</v>
      </c>
      <c r="C809" s="41">
        <v>333.0</v>
      </c>
      <c r="D809" s="27">
        <v>4.0</v>
      </c>
      <c r="E809" s="27">
        <v>339.0</v>
      </c>
      <c r="F809" s="79">
        <v>8.0</v>
      </c>
      <c r="G809" s="51">
        <f t="shared" si="287"/>
        <v>0.3746</v>
      </c>
      <c r="H809" s="52">
        <f t="shared" si="288"/>
        <v>0.5258</v>
      </c>
      <c r="I809" s="13">
        <f t="shared" si="289"/>
        <v>0.4502</v>
      </c>
      <c r="J809" s="13">
        <f>J805/J803</f>
        <v>0.6153846154</v>
      </c>
    </row>
    <row r="810">
      <c r="A810" s="48">
        <v>9.0</v>
      </c>
      <c r="B810" s="82">
        <v>0.0</v>
      </c>
      <c r="C810" s="38">
        <v>0.0</v>
      </c>
      <c r="D810" s="27">
        <v>0.0</v>
      </c>
      <c r="E810" s="27">
        <v>64.0</v>
      </c>
      <c r="F810" s="64">
        <v>38.0</v>
      </c>
      <c r="G810" s="51">
        <f t="shared" si="287"/>
        <v>0.078</v>
      </c>
      <c r="H810" s="52">
        <f t="shared" si="288"/>
        <v>0.0908</v>
      </c>
      <c r="I810" s="85">
        <f t="shared" si="289"/>
        <v>0.0844</v>
      </c>
      <c r="J810" s="86"/>
    </row>
    <row r="811">
      <c r="A811" s="48">
        <v>10.0</v>
      </c>
      <c r="B811" s="82">
        <v>0.0</v>
      </c>
      <c r="C811" s="42">
        <v>52.0</v>
      </c>
      <c r="D811" s="27">
        <v>0.0</v>
      </c>
      <c r="E811" s="27">
        <v>87.0</v>
      </c>
      <c r="F811" s="87">
        <v>38.0</v>
      </c>
      <c r="G811" s="51">
        <f t="shared" si="287"/>
        <v>0.0884</v>
      </c>
      <c r="H811" s="52">
        <f t="shared" si="288"/>
        <v>0.0954</v>
      </c>
      <c r="I811" s="90">
        <f t="shared" si="289"/>
        <v>0.0919</v>
      </c>
      <c r="J811" s="91"/>
    </row>
    <row r="812">
      <c r="A812" s="43" t="s">
        <v>33</v>
      </c>
      <c r="B812" s="92">
        <f>SUM(B802:B811)</f>
        <v>13</v>
      </c>
      <c r="C812" s="93">
        <f>AVERAGE(C802:C811)</f>
        <v>204.4</v>
      </c>
      <c r="D812" s="93">
        <f>SUM(D802:D811)</f>
        <v>8</v>
      </c>
      <c r="E812" s="93">
        <f t="shared" ref="E812:F812" si="290">AVERAGE(E802:E811)</f>
        <v>137</v>
      </c>
      <c r="F812" s="94">
        <f t="shared" si="290"/>
        <v>22.8</v>
      </c>
      <c r="G812" s="95">
        <f t="shared" ref="G812:H812" si="291">Average(G802:G811)</f>
        <v>0.27508</v>
      </c>
      <c r="H812" s="96">
        <f t="shared" si="291"/>
        <v>0.2366</v>
      </c>
      <c r="I812" s="97">
        <f t="shared" si="289"/>
        <v>0.25584</v>
      </c>
      <c r="J812" s="98"/>
    </row>
    <row r="814">
      <c r="A814" s="43"/>
      <c r="B814" s="43" t="s">
        <v>0</v>
      </c>
      <c r="C814" s="44" t="s">
        <v>163</v>
      </c>
      <c r="D814" s="43" t="s">
        <v>2</v>
      </c>
      <c r="E814" s="43" t="str">
        <f>"Game on " &amp; MATCH(MAX(I816:I825), I816:I825, 0) + ROW(I816) - 1 &amp; ". row"
</f>
        <v>Game on 822. row</v>
      </c>
      <c r="F814" s="43"/>
      <c r="G814" s="43"/>
      <c r="H814" s="43"/>
      <c r="I814" s="45"/>
    </row>
    <row r="815">
      <c r="A815" s="44" t="s">
        <v>164</v>
      </c>
      <c r="B815" s="46" t="s">
        <v>4</v>
      </c>
      <c r="C815" s="46" t="s">
        <v>5</v>
      </c>
      <c r="D815" s="46" t="s">
        <v>6</v>
      </c>
      <c r="E815" s="46" t="s">
        <v>7</v>
      </c>
      <c r="F815" s="46" t="s">
        <v>8</v>
      </c>
      <c r="G815" s="46"/>
      <c r="H815" s="46"/>
      <c r="I815" s="47"/>
      <c r="J815" s="46"/>
    </row>
    <row r="816">
      <c r="A816" s="48">
        <v>1.0</v>
      </c>
      <c r="B816" s="1">
        <v>0.0</v>
      </c>
      <c r="C816" s="1">
        <v>177.0</v>
      </c>
      <c r="D816" s="1">
        <v>4.0</v>
      </c>
      <c r="E816" s="1">
        <v>447.0</v>
      </c>
      <c r="F816" s="1">
        <v>7.0</v>
      </c>
      <c r="G816" s="51">
        <f t="shared" ref="G816:G825" si="292">(B816*0.5 + C816/100*0.2 + (51 - F816)/5*0.3)/10</f>
        <v>0.2994</v>
      </c>
      <c r="H816" s="52">
        <f t="shared" ref="H816:H825" si="293">(D816*0.5 + E816/100*0.2 + (51 - F816)/5*0.3)/10</f>
        <v>0.5534</v>
      </c>
      <c r="I816" s="53">
        <f t="shared" ref="I816:I826" si="294">AVERAGE(G816,H816)</f>
        <v>0.4264</v>
      </c>
      <c r="J816" s="1" t="s">
        <v>15</v>
      </c>
    </row>
    <row r="817">
      <c r="A817" s="48">
        <v>2.0</v>
      </c>
      <c r="B817" s="1">
        <v>3.0</v>
      </c>
      <c r="C817" s="1">
        <v>411.0</v>
      </c>
      <c r="D817" s="1">
        <v>1.0</v>
      </c>
      <c r="E817" s="1">
        <v>488.0</v>
      </c>
      <c r="F817" s="1">
        <v>15.0</v>
      </c>
      <c r="G817" s="51">
        <f t="shared" si="292"/>
        <v>0.4482</v>
      </c>
      <c r="H817" s="52">
        <f t="shared" si="293"/>
        <v>0.3636</v>
      </c>
      <c r="I817" s="62">
        <f t="shared" si="294"/>
        <v>0.4059</v>
      </c>
      <c r="J817" s="6">
        <f>B826/10</f>
        <v>1</v>
      </c>
    </row>
    <row r="818">
      <c r="A818" s="48">
        <v>3.0</v>
      </c>
      <c r="B818" s="1">
        <v>1.0</v>
      </c>
      <c r="C818" s="1">
        <v>90.0</v>
      </c>
      <c r="D818" s="1">
        <v>0.0</v>
      </c>
      <c r="E818" s="1">
        <v>109.0</v>
      </c>
      <c r="F818" s="1">
        <v>44.0</v>
      </c>
      <c r="G818" s="51">
        <f t="shared" si="292"/>
        <v>0.11</v>
      </c>
      <c r="H818" s="52">
        <f t="shared" si="293"/>
        <v>0.0638</v>
      </c>
      <c r="I818" s="62">
        <f t="shared" si="294"/>
        <v>0.0869</v>
      </c>
      <c r="J818" s="1" t="s">
        <v>19</v>
      </c>
    </row>
    <row r="819">
      <c r="A819" s="48">
        <v>4.0</v>
      </c>
      <c r="B819" s="1">
        <v>0.0</v>
      </c>
      <c r="C819" s="1">
        <v>59.0</v>
      </c>
      <c r="D819" s="1">
        <v>0.0</v>
      </c>
      <c r="E819" s="1">
        <v>70.0</v>
      </c>
      <c r="F819" s="1">
        <v>30.0</v>
      </c>
      <c r="G819" s="51">
        <f t="shared" si="292"/>
        <v>0.1378</v>
      </c>
      <c r="H819" s="52">
        <f t="shared" si="293"/>
        <v>0.14</v>
      </c>
      <c r="I819" s="67">
        <f t="shared" si="294"/>
        <v>0.1389</v>
      </c>
      <c r="J819" s="6">
        <f>D826/10</f>
        <v>0.5</v>
      </c>
    </row>
    <row r="820">
      <c r="A820" s="48">
        <v>5.0</v>
      </c>
      <c r="B820" s="1">
        <v>0.0</v>
      </c>
      <c r="C820" s="1">
        <v>86.0</v>
      </c>
      <c r="D820" s="1">
        <v>0.0</v>
      </c>
      <c r="E820" s="1">
        <v>28.0</v>
      </c>
      <c r="F820" s="1">
        <v>43.0</v>
      </c>
      <c r="G820" s="51">
        <f t="shared" si="292"/>
        <v>0.0652</v>
      </c>
      <c r="H820" s="52">
        <f t="shared" si="293"/>
        <v>0.0536</v>
      </c>
      <c r="I820" s="72">
        <f t="shared" si="294"/>
        <v>0.0594</v>
      </c>
      <c r="J820" s="7" t="s">
        <v>23</v>
      </c>
    </row>
    <row r="821">
      <c r="A821" s="48">
        <v>6.0</v>
      </c>
      <c r="B821" s="1">
        <v>0.0</v>
      </c>
      <c r="C821" s="1">
        <v>0.0</v>
      </c>
      <c r="D821" s="1">
        <v>0.0</v>
      </c>
      <c r="E821" s="1">
        <v>235.0</v>
      </c>
      <c r="F821" s="1">
        <v>31.0</v>
      </c>
      <c r="G821" s="51">
        <f t="shared" si="292"/>
        <v>0.12</v>
      </c>
      <c r="H821" s="52">
        <f t="shared" si="293"/>
        <v>0.167</v>
      </c>
      <c r="I821" s="72">
        <f t="shared" si="294"/>
        <v>0.1435</v>
      </c>
      <c r="J821" s="8">
        <f>J817/J819</f>
        <v>2</v>
      </c>
    </row>
    <row r="822">
      <c r="A822" s="48">
        <v>7.0</v>
      </c>
      <c r="B822" s="1">
        <v>4.0</v>
      </c>
      <c r="C822" s="1">
        <v>440.0</v>
      </c>
      <c r="D822" s="1">
        <v>0.0</v>
      </c>
      <c r="E822" s="1">
        <v>138.0</v>
      </c>
      <c r="F822" s="1">
        <v>3.0</v>
      </c>
      <c r="G822" s="51">
        <f t="shared" si="292"/>
        <v>0.576</v>
      </c>
      <c r="H822" s="52">
        <f t="shared" si="293"/>
        <v>0.3156</v>
      </c>
      <c r="I822" s="78">
        <f t="shared" si="294"/>
        <v>0.4458</v>
      </c>
      <c r="J822" s="10" t="s">
        <v>27</v>
      </c>
    </row>
    <row r="823">
      <c r="A823" s="48">
        <v>8.0</v>
      </c>
      <c r="B823" s="63">
        <v>0.0</v>
      </c>
      <c r="C823" s="41">
        <v>235.0</v>
      </c>
      <c r="D823" s="27">
        <v>0.0</v>
      </c>
      <c r="E823" s="27">
        <v>64.0</v>
      </c>
      <c r="F823" s="79">
        <v>30.0</v>
      </c>
      <c r="G823" s="51">
        <f t="shared" si="292"/>
        <v>0.173</v>
      </c>
      <c r="H823" s="52">
        <f t="shared" si="293"/>
        <v>0.1388</v>
      </c>
      <c r="I823" s="13">
        <f t="shared" si="294"/>
        <v>0.1559</v>
      </c>
      <c r="J823" s="13">
        <f>J819/J817</f>
        <v>0.5</v>
      </c>
    </row>
    <row r="824">
      <c r="A824" s="48">
        <v>9.0</v>
      </c>
      <c r="B824" s="82">
        <v>2.0</v>
      </c>
      <c r="C824" s="38">
        <v>328.0</v>
      </c>
      <c r="D824" s="27">
        <v>0.0</v>
      </c>
      <c r="E824" s="27">
        <v>146.0</v>
      </c>
      <c r="F824" s="64">
        <v>31.0</v>
      </c>
      <c r="G824" s="51">
        <f t="shared" si="292"/>
        <v>0.2856</v>
      </c>
      <c r="H824" s="52">
        <f t="shared" si="293"/>
        <v>0.1492</v>
      </c>
      <c r="I824" s="85">
        <f t="shared" si="294"/>
        <v>0.2174</v>
      </c>
      <c r="J824" s="86"/>
    </row>
    <row r="825">
      <c r="A825" s="48">
        <v>10.0</v>
      </c>
      <c r="B825" s="82">
        <v>0.0</v>
      </c>
      <c r="C825" s="42">
        <v>103.0</v>
      </c>
      <c r="D825" s="27">
        <v>0.0</v>
      </c>
      <c r="E825" s="27">
        <v>0.0</v>
      </c>
      <c r="F825" s="87">
        <v>19.0</v>
      </c>
      <c r="G825" s="51">
        <f t="shared" si="292"/>
        <v>0.2126</v>
      </c>
      <c r="H825" s="52">
        <f t="shared" si="293"/>
        <v>0.192</v>
      </c>
      <c r="I825" s="90">
        <f t="shared" si="294"/>
        <v>0.2023</v>
      </c>
      <c r="J825" s="91"/>
    </row>
    <row r="826">
      <c r="A826" s="43" t="s">
        <v>33</v>
      </c>
      <c r="B826" s="92">
        <f>SUM(B816:B825)</f>
        <v>10</v>
      </c>
      <c r="C826" s="93">
        <f>AVERAGE(C816:C825)</f>
        <v>192.9</v>
      </c>
      <c r="D826" s="93">
        <f>SUM(D816:D825)</f>
        <v>5</v>
      </c>
      <c r="E826" s="93">
        <f t="shared" ref="E826:F826" si="295">AVERAGE(E816:E825)</f>
        <v>172.5</v>
      </c>
      <c r="F826" s="94">
        <f t="shared" si="295"/>
        <v>25.3</v>
      </c>
      <c r="G826" s="95">
        <f t="shared" ref="G826:H826" si="296">Average(G816:G825)</f>
        <v>0.24278</v>
      </c>
      <c r="H826" s="96">
        <f t="shared" si="296"/>
        <v>0.2137</v>
      </c>
      <c r="I826" s="97">
        <f t="shared" si="294"/>
        <v>0.22824</v>
      </c>
      <c r="J826" s="98"/>
    </row>
    <row r="828">
      <c r="A828" s="43"/>
      <c r="B828" s="43" t="s">
        <v>0</v>
      </c>
      <c r="C828" s="44" t="s">
        <v>165</v>
      </c>
      <c r="D828" s="43" t="s">
        <v>2</v>
      </c>
      <c r="E828" s="43" t="str">
        <f>"Game on " &amp; MATCH(MAX(I830:I839), I830:I839, 0) + ROW(I830) - 1 &amp; ". row"
</f>
        <v>Game on 839. row</v>
      </c>
      <c r="F828" s="43"/>
      <c r="G828" s="43"/>
      <c r="H828" s="43"/>
      <c r="I828" s="45"/>
    </row>
    <row r="829">
      <c r="A829" s="44" t="s">
        <v>166</v>
      </c>
      <c r="B829" s="46" t="s">
        <v>4</v>
      </c>
      <c r="C829" s="46" t="s">
        <v>5</v>
      </c>
      <c r="D829" s="46" t="s">
        <v>6</v>
      </c>
      <c r="E829" s="46" t="s">
        <v>7</v>
      </c>
      <c r="F829" s="46" t="s">
        <v>8</v>
      </c>
      <c r="G829" s="46"/>
      <c r="H829" s="46"/>
      <c r="I829" s="47"/>
      <c r="J829" s="46"/>
    </row>
    <row r="830">
      <c r="A830" s="48">
        <v>1.0</v>
      </c>
      <c r="B830" s="1">
        <v>1.0</v>
      </c>
      <c r="C830" s="1">
        <v>146.0</v>
      </c>
      <c r="D830" s="1">
        <v>0.0</v>
      </c>
      <c r="E830" s="1">
        <v>88.0</v>
      </c>
      <c r="F830" s="1">
        <v>25.0</v>
      </c>
      <c r="G830" s="51">
        <f t="shared" ref="G830:G839" si="297">(B830*0.5 + C830/100*0.2 + (51 - F830)/5*0.3)/10</f>
        <v>0.2352</v>
      </c>
      <c r="H830" s="52">
        <f t="shared" ref="H830:H839" si="298">(D830*0.5 + E830/100*0.2 + (51 - F830)/5*0.3)/10</f>
        <v>0.1736</v>
      </c>
      <c r="I830" s="53">
        <f t="shared" ref="I830:I840" si="299">AVERAGE(G830,H830)</f>
        <v>0.2044</v>
      </c>
      <c r="J830" s="1" t="s">
        <v>15</v>
      </c>
    </row>
    <row r="831">
      <c r="A831" s="48">
        <v>2.0</v>
      </c>
      <c r="B831" s="1">
        <v>1.0</v>
      </c>
      <c r="C831" s="1">
        <v>206.0</v>
      </c>
      <c r="D831" s="1">
        <v>0.0</v>
      </c>
      <c r="E831" s="1">
        <v>21.0</v>
      </c>
      <c r="F831" s="1">
        <v>11.0</v>
      </c>
      <c r="G831" s="51">
        <f t="shared" si="297"/>
        <v>0.3312</v>
      </c>
      <c r="H831" s="52">
        <f t="shared" si="298"/>
        <v>0.2442</v>
      </c>
      <c r="I831" s="62">
        <f t="shared" si="299"/>
        <v>0.2877</v>
      </c>
      <c r="J831" s="6">
        <f>B840/10</f>
        <v>2.3</v>
      </c>
    </row>
    <row r="832">
      <c r="A832" s="48">
        <v>3.0</v>
      </c>
      <c r="B832" s="1">
        <v>5.0</v>
      </c>
      <c r="C832" s="1">
        <v>423.0</v>
      </c>
      <c r="D832" s="1">
        <v>1.0</v>
      </c>
      <c r="E832" s="1">
        <v>375.0</v>
      </c>
      <c r="F832" s="1">
        <v>6.0</v>
      </c>
      <c r="G832" s="51">
        <f t="shared" si="297"/>
        <v>0.6046</v>
      </c>
      <c r="H832" s="52">
        <f t="shared" si="298"/>
        <v>0.395</v>
      </c>
      <c r="I832" s="62">
        <f t="shared" si="299"/>
        <v>0.4998</v>
      </c>
      <c r="J832" s="1" t="s">
        <v>19</v>
      </c>
    </row>
    <row r="833">
      <c r="A833" s="48">
        <v>4.0</v>
      </c>
      <c r="B833" s="1">
        <v>6.0</v>
      </c>
      <c r="C833" s="1">
        <v>784.0</v>
      </c>
      <c r="D833" s="1">
        <v>2.0</v>
      </c>
      <c r="E833" s="1">
        <v>197.0</v>
      </c>
      <c r="F833" s="1">
        <v>4.0</v>
      </c>
      <c r="G833" s="51">
        <f t="shared" si="297"/>
        <v>0.7388</v>
      </c>
      <c r="H833" s="52">
        <f t="shared" si="298"/>
        <v>0.4214</v>
      </c>
      <c r="I833" s="67">
        <f t="shared" si="299"/>
        <v>0.5801</v>
      </c>
      <c r="J833" s="6">
        <f>D840/10</f>
        <v>1.6</v>
      </c>
    </row>
    <row r="834">
      <c r="A834" s="48">
        <v>5.0</v>
      </c>
      <c r="B834" s="1">
        <v>0.0</v>
      </c>
      <c r="C834" s="1">
        <v>383.0</v>
      </c>
      <c r="D834" s="1">
        <v>3.0</v>
      </c>
      <c r="E834" s="1">
        <v>467.0</v>
      </c>
      <c r="F834" s="1">
        <v>4.0</v>
      </c>
      <c r="G834" s="51">
        <f t="shared" si="297"/>
        <v>0.3586</v>
      </c>
      <c r="H834" s="52">
        <f t="shared" si="298"/>
        <v>0.5254</v>
      </c>
      <c r="I834" s="72">
        <f t="shared" si="299"/>
        <v>0.442</v>
      </c>
      <c r="J834" s="7" t="s">
        <v>23</v>
      </c>
    </row>
    <row r="835">
      <c r="A835" s="48">
        <v>6.0</v>
      </c>
      <c r="B835" s="1">
        <v>0.0</v>
      </c>
      <c r="C835" s="1">
        <v>279.0</v>
      </c>
      <c r="D835" s="1">
        <v>1.0</v>
      </c>
      <c r="E835" s="1">
        <v>106.0</v>
      </c>
      <c r="F835" s="1">
        <v>25.0</v>
      </c>
      <c r="G835" s="51">
        <f t="shared" si="297"/>
        <v>0.2118</v>
      </c>
      <c r="H835" s="52">
        <f t="shared" si="298"/>
        <v>0.2272</v>
      </c>
      <c r="I835" s="72">
        <f t="shared" si="299"/>
        <v>0.2195</v>
      </c>
      <c r="J835" s="8">
        <f>J831/J833</f>
        <v>1.4375</v>
      </c>
    </row>
    <row r="836">
      <c r="A836" s="48">
        <v>7.0</v>
      </c>
      <c r="B836" s="1">
        <v>0.0</v>
      </c>
      <c r="C836" s="1">
        <v>143.0</v>
      </c>
      <c r="D836" s="1">
        <v>0.0</v>
      </c>
      <c r="E836" s="1">
        <v>0.0</v>
      </c>
      <c r="F836" s="1">
        <v>30.0</v>
      </c>
      <c r="G836" s="51">
        <f t="shared" si="297"/>
        <v>0.1546</v>
      </c>
      <c r="H836" s="52">
        <f t="shared" si="298"/>
        <v>0.126</v>
      </c>
      <c r="I836" s="78">
        <f t="shared" si="299"/>
        <v>0.1403</v>
      </c>
      <c r="J836" s="10" t="s">
        <v>27</v>
      </c>
    </row>
    <row r="837">
      <c r="A837" s="48">
        <v>8.0</v>
      </c>
      <c r="B837" s="63">
        <v>3.0</v>
      </c>
      <c r="C837" s="41">
        <v>441.0</v>
      </c>
      <c r="D837" s="27">
        <v>2.0</v>
      </c>
      <c r="E837" s="27">
        <v>214.0</v>
      </c>
      <c r="F837" s="79">
        <v>18.0</v>
      </c>
      <c r="G837" s="51">
        <f t="shared" si="297"/>
        <v>0.4362</v>
      </c>
      <c r="H837" s="52">
        <f t="shared" si="298"/>
        <v>0.3408</v>
      </c>
      <c r="I837" s="13">
        <f t="shared" si="299"/>
        <v>0.3885</v>
      </c>
      <c r="J837" s="13">
        <f>J833/J831</f>
        <v>0.6956521739</v>
      </c>
    </row>
    <row r="838">
      <c r="A838" s="48">
        <v>9.0</v>
      </c>
      <c r="B838" s="82">
        <v>1.0</v>
      </c>
      <c r="C838" s="38">
        <v>144.0</v>
      </c>
      <c r="D838" s="27">
        <v>2.0</v>
      </c>
      <c r="E838" s="27">
        <v>330.0</v>
      </c>
      <c r="F838" s="64">
        <v>27.0</v>
      </c>
      <c r="G838" s="51">
        <f t="shared" si="297"/>
        <v>0.2228</v>
      </c>
      <c r="H838" s="52">
        <f t="shared" si="298"/>
        <v>0.31</v>
      </c>
      <c r="I838" s="85">
        <f t="shared" si="299"/>
        <v>0.2664</v>
      </c>
      <c r="J838" s="86"/>
    </row>
    <row r="839">
      <c r="A839" s="48">
        <v>10.0</v>
      </c>
      <c r="B839" s="82">
        <v>6.0</v>
      </c>
      <c r="C839" s="42">
        <v>889.0</v>
      </c>
      <c r="D839" s="27">
        <v>5.0</v>
      </c>
      <c r="E839" s="27">
        <v>935.0</v>
      </c>
      <c r="F839" s="87">
        <v>3.0</v>
      </c>
      <c r="G839" s="51">
        <f t="shared" si="297"/>
        <v>0.7658</v>
      </c>
      <c r="H839" s="52">
        <f t="shared" si="298"/>
        <v>0.725</v>
      </c>
      <c r="I839" s="90">
        <f t="shared" si="299"/>
        <v>0.7454</v>
      </c>
      <c r="J839" s="91"/>
    </row>
    <row r="840">
      <c r="A840" s="43" t="s">
        <v>33</v>
      </c>
      <c r="B840" s="92">
        <f>SUM(B830:B839)</f>
        <v>23</v>
      </c>
      <c r="C840" s="93">
        <f>AVERAGE(C830:C839)</f>
        <v>383.8</v>
      </c>
      <c r="D840" s="93">
        <f>SUM(D830:D839)</f>
        <v>16</v>
      </c>
      <c r="E840" s="93">
        <f t="shared" ref="E840:F840" si="300">AVERAGE(E830:E839)</f>
        <v>273.3</v>
      </c>
      <c r="F840" s="94">
        <f t="shared" si="300"/>
        <v>15.3</v>
      </c>
      <c r="G840" s="95">
        <f t="shared" ref="G840:H840" si="301">Average(G830:G839)</f>
        <v>0.40596</v>
      </c>
      <c r="H840" s="96">
        <f t="shared" si="301"/>
        <v>0.34886</v>
      </c>
      <c r="I840" s="97">
        <f t="shared" si="299"/>
        <v>0.37741</v>
      </c>
      <c r="J840" s="98"/>
    </row>
    <row r="842">
      <c r="A842" s="43"/>
      <c r="B842" s="43" t="s">
        <v>0</v>
      </c>
      <c r="C842" s="44" t="s">
        <v>167</v>
      </c>
      <c r="D842" s="43" t="s">
        <v>2</v>
      </c>
      <c r="E842" s="43" t="str">
        <f>"Game on " &amp; MATCH(MAX(I844:I853), I844:I853, 0) + ROW(I844) - 1 &amp; ". row"
</f>
        <v>Game on 848. row</v>
      </c>
      <c r="F842" s="43"/>
      <c r="G842" s="43"/>
      <c r="H842" s="43"/>
      <c r="I842" s="45"/>
    </row>
    <row r="843">
      <c r="A843" s="44" t="s">
        <v>168</v>
      </c>
      <c r="B843" s="46" t="s">
        <v>4</v>
      </c>
      <c r="C843" s="46" t="s">
        <v>5</v>
      </c>
      <c r="D843" s="46" t="s">
        <v>6</v>
      </c>
      <c r="E843" s="46" t="s">
        <v>7</v>
      </c>
      <c r="F843" s="46" t="s">
        <v>8</v>
      </c>
      <c r="G843" s="46"/>
      <c r="H843" s="46"/>
      <c r="I843" s="47"/>
      <c r="J843" s="46"/>
    </row>
    <row r="844">
      <c r="A844" s="48">
        <v>1.0</v>
      </c>
      <c r="B844" s="1">
        <v>0.0</v>
      </c>
      <c r="C844" s="1">
        <v>217.0</v>
      </c>
      <c r="D844" s="1">
        <v>0.0</v>
      </c>
      <c r="E844" s="1">
        <v>100.0</v>
      </c>
      <c r="F844" s="1">
        <v>29.0</v>
      </c>
      <c r="G844" s="51">
        <f t="shared" ref="G844:G853" si="302">(B844*0.5 + C844/100*0.2 + (51 - F844)/5*0.3)/10</f>
        <v>0.1754</v>
      </c>
      <c r="H844" s="52">
        <f t="shared" ref="H844:H853" si="303">(D844*0.5 + E844/100*0.2 + (51 - F844)/5*0.3)/10</f>
        <v>0.152</v>
      </c>
      <c r="I844" s="53">
        <f t="shared" ref="I844:I854" si="304">AVERAGE(G844,H844)</f>
        <v>0.1637</v>
      </c>
      <c r="J844" s="1" t="s">
        <v>15</v>
      </c>
    </row>
    <row r="845">
      <c r="A845" s="48">
        <v>2.0</v>
      </c>
      <c r="B845" s="1">
        <v>0.0</v>
      </c>
      <c r="C845" s="1">
        <v>100.0</v>
      </c>
      <c r="D845" s="1">
        <v>0.0</v>
      </c>
      <c r="E845" s="1">
        <v>311.0</v>
      </c>
      <c r="F845" s="1">
        <v>28.0</v>
      </c>
      <c r="G845" s="51">
        <f t="shared" si="302"/>
        <v>0.158</v>
      </c>
      <c r="H845" s="52">
        <f t="shared" si="303"/>
        <v>0.2002</v>
      </c>
      <c r="I845" s="62">
        <f t="shared" si="304"/>
        <v>0.1791</v>
      </c>
      <c r="J845" s="6">
        <f>B854/10</f>
        <v>1.1</v>
      </c>
    </row>
    <row r="846">
      <c r="A846" s="48">
        <v>3.0</v>
      </c>
      <c r="B846" s="1">
        <v>0.0</v>
      </c>
      <c r="C846" s="1">
        <v>118.0</v>
      </c>
      <c r="D846" s="1">
        <v>1.0</v>
      </c>
      <c r="E846" s="1">
        <v>148.0</v>
      </c>
      <c r="F846" s="1">
        <v>15.0</v>
      </c>
      <c r="G846" s="51">
        <f t="shared" si="302"/>
        <v>0.2396</v>
      </c>
      <c r="H846" s="52">
        <f t="shared" si="303"/>
        <v>0.2956</v>
      </c>
      <c r="I846" s="62">
        <f t="shared" si="304"/>
        <v>0.2676</v>
      </c>
      <c r="J846" s="1" t="s">
        <v>19</v>
      </c>
    </row>
    <row r="847">
      <c r="A847" s="48">
        <v>4.0</v>
      </c>
      <c r="B847" s="1">
        <v>2.0</v>
      </c>
      <c r="C847" s="1">
        <v>374.0</v>
      </c>
      <c r="D847" s="1">
        <v>1.0</v>
      </c>
      <c r="E847" s="1">
        <v>234.0</v>
      </c>
      <c r="F847" s="1">
        <v>11.0</v>
      </c>
      <c r="G847" s="51">
        <f t="shared" si="302"/>
        <v>0.4148</v>
      </c>
      <c r="H847" s="52">
        <f t="shared" si="303"/>
        <v>0.3368</v>
      </c>
      <c r="I847" s="67">
        <f t="shared" si="304"/>
        <v>0.3758</v>
      </c>
      <c r="J847" s="6">
        <f>D854/10</f>
        <v>0.7</v>
      </c>
    </row>
    <row r="848">
      <c r="A848" s="48">
        <v>5.0</v>
      </c>
      <c r="B848" s="1">
        <v>4.0</v>
      </c>
      <c r="C848" s="1">
        <v>763.0</v>
      </c>
      <c r="D848" s="1">
        <v>2.0</v>
      </c>
      <c r="E848" s="1">
        <v>294.0</v>
      </c>
      <c r="F848" s="1">
        <v>9.0</v>
      </c>
      <c r="G848" s="51">
        <f t="shared" si="302"/>
        <v>0.6046</v>
      </c>
      <c r="H848" s="52">
        <f t="shared" si="303"/>
        <v>0.4108</v>
      </c>
      <c r="I848" s="72">
        <f t="shared" si="304"/>
        <v>0.5077</v>
      </c>
      <c r="J848" s="7" t="s">
        <v>23</v>
      </c>
    </row>
    <row r="849">
      <c r="A849" s="48">
        <v>6.0</v>
      </c>
      <c r="B849" s="1">
        <v>0.0</v>
      </c>
      <c r="C849" s="1">
        <v>54.0</v>
      </c>
      <c r="D849" s="1">
        <v>1.0</v>
      </c>
      <c r="E849" s="1">
        <v>267.0</v>
      </c>
      <c r="F849" s="1">
        <v>38.0</v>
      </c>
      <c r="G849" s="51">
        <f t="shared" si="302"/>
        <v>0.0888</v>
      </c>
      <c r="H849" s="52">
        <f t="shared" si="303"/>
        <v>0.1814</v>
      </c>
      <c r="I849" s="72">
        <f t="shared" si="304"/>
        <v>0.1351</v>
      </c>
      <c r="J849" s="8">
        <f>J845/J847</f>
        <v>1.571428571</v>
      </c>
    </row>
    <row r="850">
      <c r="A850" s="48">
        <v>7.0</v>
      </c>
      <c r="B850" s="1">
        <v>2.0</v>
      </c>
      <c r="C850" s="1">
        <v>125.0</v>
      </c>
      <c r="D850" s="1">
        <v>1.0</v>
      </c>
      <c r="E850" s="1">
        <v>241.0</v>
      </c>
      <c r="F850" s="1">
        <v>18.0</v>
      </c>
      <c r="G850" s="51">
        <f t="shared" si="302"/>
        <v>0.323</v>
      </c>
      <c r="H850" s="52">
        <f t="shared" si="303"/>
        <v>0.2962</v>
      </c>
      <c r="I850" s="78">
        <f t="shared" si="304"/>
        <v>0.3096</v>
      </c>
      <c r="J850" s="10" t="s">
        <v>27</v>
      </c>
    </row>
    <row r="851">
      <c r="A851" s="48">
        <v>8.0</v>
      </c>
      <c r="B851" s="1">
        <v>2.0</v>
      </c>
      <c r="C851" s="1">
        <v>411.0</v>
      </c>
      <c r="D851" s="1">
        <v>0.0</v>
      </c>
      <c r="E851" s="1">
        <v>0.0</v>
      </c>
      <c r="F851" s="1">
        <v>15.0</v>
      </c>
      <c r="G851" s="51">
        <f t="shared" si="302"/>
        <v>0.3982</v>
      </c>
      <c r="H851" s="52">
        <f t="shared" si="303"/>
        <v>0.216</v>
      </c>
      <c r="I851" s="13">
        <f t="shared" si="304"/>
        <v>0.3071</v>
      </c>
      <c r="J851" s="13">
        <f>J847/J845</f>
        <v>0.6363636364</v>
      </c>
    </row>
    <row r="852">
      <c r="A852" s="48">
        <v>9.0</v>
      </c>
      <c r="B852" s="1">
        <v>0.0</v>
      </c>
      <c r="C852" s="1">
        <v>0.0</v>
      </c>
      <c r="D852" s="1">
        <v>0.0</v>
      </c>
      <c r="E852" s="1">
        <v>183.0</v>
      </c>
      <c r="F852" s="1">
        <v>10.0</v>
      </c>
      <c r="G852" s="51">
        <f t="shared" si="302"/>
        <v>0.246</v>
      </c>
      <c r="H852" s="52">
        <f t="shared" si="303"/>
        <v>0.2826</v>
      </c>
      <c r="I852" s="85">
        <f t="shared" si="304"/>
        <v>0.2643</v>
      </c>
      <c r="J852" s="86"/>
    </row>
    <row r="853">
      <c r="A853" s="48">
        <v>10.0</v>
      </c>
      <c r="B853" s="1">
        <v>1.0</v>
      </c>
      <c r="C853" s="1">
        <v>313.0</v>
      </c>
      <c r="D853" s="1">
        <v>1.0</v>
      </c>
      <c r="E853" s="1">
        <v>416.0</v>
      </c>
      <c r="F853" s="1">
        <v>16.0</v>
      </c>
      <c r="G853" s="51">
        <f t="shared" si="302"/>
        <v>0.3226</v>
      </c>
      <c r="H853" s="52">
        <f t="shared" si="303"/>
        <v>0.3432</v>
      </c>
      <c r="I853" s="90">
        <f t="shared" si="304"/>
        <v>0.3329</v>
      </c>
      <c r="J853" s="91"/>
    </row>
    <row r="854">
      <c r="A854" s="43" t="s">
        <v>33</v>
      </c>
      <c r="B854" s="92">
        <f>SUM(B844:B853)</f>
        <v>11</v>
      </c>
      <c r="C854" s="93">
        <f>AVERAGE(C844:C853)</f>
        <v>247.5</v>
      </c>
      <c r="D854" s="93">
        <f>SUM(D844:D853)</f>
        <v>7</v>
      </c>
      <c r="E854" s="93">
        <f t="shared" ref="E854:F854" si="305">AVERAGE(E844:E853)</f>
        <v>219.4</v>
      </c>
      <c r="F854" s="94">
        <f t="shared" si="305"/>
        <v>18.9</v>
      </c>
      <c r="G854" s="95">
        <f t="shared" ref="G854:H854" si="306">Average(G844:G853)</f>
        <v>0.2971</v>
      </c>
      <c r="H854" s="96">
        <f t="shared" si="306"/>
        <v>0.27148</v>
      </c>
      <c r="I854" s="97">
        <f t="shared" si="304"/>
        <v>0.28429</v>
      </c>
      <c r="J854" s="98"/>
    </row>
    <row r="856">
      <c r="A856" s="43"/>
      <c r="B856" s="43" t="s">
        <v>0</v>
      </c>
      <c r="C856" s="44" t="s">
        <v>169</v>
      </c>
      <c r="D856" s="43" t="s">
        <v>2</v>
      </c>
      <c r="E856" s="43" t="str">
        <f>"Game on " &amp; MATCH(MAX(I858:I867), I858:I867, 0) + ROW(I858) - 1 &amp; ". row"
</f>
        <v>Game on 860. row</v>
      </c>
      <c r="F856" s="43"/>
      <c r="G856" s="43"/>
      <c r="H856" s="43"/>
      <c r="I856" s="45"/>
    </row>
    <row r="857">
      <c r="A857" s="44" t="s">
        <v>170</v>
      </c>
      <c r="B857" s="46" t="s">
        <v>4</v>
      </c>
      <c r="C857" s="46" t="s">
        <v>5</v>
      </c>
      <c r="D857" s="46" t="s">
        <v>6</v>
      </c>
      <c r="E857" s="46" t="s">
        <v>7</v>
      </c>
      <c r="F857" s="46" t="s">
        <v>8</v>
      </c>
      <c r="G857" s="46"/>
      <c r="H857" s="46"/>
      <c r="I857" s="47"/>
      <c r="J857" s="46"/>
    </row>
    <row r="858">
      <c r="A858" s="48">
        <v>1.0</v>
      </c>
      <c r="B858" s="1">
        <v>4.0</v>
      </c>
      <c r="C858" s="1">
        <v>695.0</v>
      </c>
      <c r="D858" s="1">
        <v>1.0</v>
      </c>
      <c r="E858" s="1">
        <v>152.0</v>
      </c>
      <c r="F858" s="1">
        <v>9.0</v>
      </c>
      <c r="G858" s="51">
        <f t="shared" ref="G858:G863" si="307">(B858*0.5 + C858/100*0.2 + (51 - F858)/5*0.3)/10</f>
        <v>0.591</v>
      </c>
      <c r="H858" s="52">
        <f t="shared" ref="H858:H863" si="308">(D858*0.5 + E858/100*0.2 + (51 - F858)/5*0.3)/10</f>
        <v>0.3324</v>
      </c>
      <c r="I858" s="53">
        <f t="shared" ref="I858:I868" si="309">AVERAGE(G858,H858)</f>
        <v>0.4617</v>
      </c>
      <c r="J858" s="1" t="s">
        <v>15</v>
      </c>
    </row>
    <row r="859">
      <c r="A859" s="48">
        <v>2.0</v>
      </c>
      <c r="B859" s="1">
        <v>0.0</v>
      </c>
      <c r="C859" s="1">
        <v>0.0</v>
      </c>
      <c r="D859" s="1">
        <v>0.0</v>
      </c>
      <c r="E859" s="1">
        <v>0.0</v>
      </c>
      <c r="F859" s="1">
        <v>48.0</v>
      </c>
      <c r="G859" s="51">
        <f t="shared" si="307"/>
        <v>0.018</v>
      </c>
      <c r="H859" s="52">
        <f t="shared" si="308"/>
        <v>0.018</v>
      </c>
      <c r="I859" s="62">
        <f t="shared" si="309"/>
        <v>0.018</v>
      </c>
      <c r="J859" s="6">
        <f>B868/10</f>
        <v>1.4</v>
      </c>
    </row>
    <row r="860">
      <c r="A860" s="48">
        <v>3.0</v>
      </c>
      <c r="B860" s="1">
        <v>7.0</v>
      </c>
      <c r="C860" s="1">
        <v>748.0</v>
      </c>
      <c r="D860" s="1">
        <v>0.0</v>
      </c>
      <c r="E860" s="1">
        <v>43.0</v>
      </c>
      <c r="F860" s="1">
        <v>16.0</v>
      </c>
      <c r="G860" s="51">
        <f t="shared" si="307"/>
        <v>0.7096</v>
      </c>
      <c r="H860" s="52">
        <f t="shared" si="308"/>
        <v>0.2186</v>
      </c>
      <c r="I860" s="62">
        <f t="shared" si="309"/>
        <v>0.4641</v>
      </c>
      <c r="J860" s="1" t="s">
        <v>19</v>
      </c>
    </row>
    <row r="861">
      <c r="A861" s="48">
        <v>4.0</v>
      </c>
      <c r="B861" s="1">
        <v>0.0</v>
      </c>
      <c r="C861" s="1">
        <v>161.0</v>
      </c>
      <c r="D861" s="1">
        <v>0.0</v>
      </c>
      <c r="E861" s="1">
        <v>22.0</v>
      </c>
      <c r="F861" s="1">
        <v>30.0</v>
      </c>
      <c r="G861" s="51">
        <f t="shared" si="307"/>
        <v>0.1582</v>
      </c>
      <c r="H861" s="52">
        <f t="shared" si="308"/>
        <v>0.1304</v>
      </c>
      <c r="I861" s="67">
        <f t="shared" si="309"/>
        <v>0.1443</v>
      </c>
      <c r="J861" s="6">
        <f>D868/10</f>
        <v>0.4</v>
      </c>
    </row>
    <row r="862">
      <c r="A862" s="48">
        <v>5.0</v>
      </c>
      <c r="B862" s="1">
        <v>2.0</v>
      </c>
      <c r="C862" s="1">
        <v>100.0</v>
      </c>
      <c r="D862" s="1">
        <v>1.0</v>
      </c>
      <c r="E862" s="1">
        <v>126.0</v>
      </c>
      <c r="F862" s="1">
        <v>21.0</v>
      </c>
      <c r="G862" s="51">
        <f t="shared" si="307"/>
        <v>0.3</v>
      </c>
      <c r="H862" s="52">
        <f t="shared" si="308"/>
        <v>0.2552</v>
      </c>
      <c r="I862" s="72">
        <f t="shared" si="309"/>
        <v>0.2776</v>
      </c>
      <c r="J862" s="7" t="s">
        <v>23</v>
      </c>
    </row>
    <row r="863">
      <c r="A863" s="48">
        <v>6.0</v>
      </c>
      <c r="B863" s="1">
        <v>0.0</v>
      </c>
      <c r="C863" s="1">
        <v>0.0</v>
      </c>
      <c r="D863" s="1">
        <v>1.0</v>
      </c>
      <c r="E863" s="1">
        <v>97.0</v>
      </c>
      <c r="F863" s="1">
        <v>42.0</v>
      </c>
      <c r="G863" s="51">
        <f t="shared" si="307"/>
        <v>0.054</v>
      </c>
      <c r="H863" s="52">
        <f t="shared" si="308"/>
        <v>0.1234</v>
      </c>
      <c r="I863" s="72">
        <f t="shared" si="309"/>
        <v>0.0887</v>
      </c>
      <c r="J863" s="8">
        <f>J859/J861</f>
        <v>3.5</v>
      </c>
    </row>
    <row r="864">
      <c r="A864" s="48">
        <v>7.0</v>
      </c>
      <c r="B864" s="1">
        <v>0.0</v>
      </c>
      <c r="C864" s="1">
        <v>0.0</v>
      </c>
      <c r="D864" s="1">
        <v>0.0</v>
      </c>
      <c r="E864" s="1">
        <v>219.0</v>
      </c>
      <c r="F864" s="1">
        <v>39.0</v>
      </c>
      <c r="G864" s="51">
        <f t="shared" ref="G864:G866" si="310">(B851*0.5 + C851/100*0.2 + (51 - F851)/5*0.3)/10</f>
        <v>0.3982</v>
      </c>
      <c r="H864" s="52">
        <f t="shared" ref="H864:H866" si="311">(D851*0.5 + E851/100*0.2 + (51 - F851)/5*0.3)/10</f>
        <v>0.216</v>
      </c>
      <c r="I864" s="78">
        <f t="shared" si="309"/>
        <v>0.3071</v>
      </c>
      <c r="J864" s="10" t="s">
        <v>27</v>
      </c>
    </row>
    <row r="865">
      <c r="A865" s="48">
        <v>8.0</v>
      </c>
      <c r="B865" s="63">
        <v>1.0</v>
      </c>
      <c r="C865" s="41">
        <v>267.0</v>
      </c>
      <c r="D865" s="27">
        <v>1.0</v>
      </c>
      <c r="E865" s="27">
        <v>175.0</v>
      </c>
      <c r="F865" s="79">
        <v>22.0</v>
      </c>
      <c r="G865" s="51">
        <f t="shared" si="310"/>
        <v>0.246</v>
      </c>
      <c r="H865" s="52">
        <f t="shared" si="311"/>
        <v>0.2826</v>
      </c>
      <c r="I865" s="13">
        <f t="shared" si="309"/>
        <v>0.2643</v>
      </c>
      <c r="J865" s="13">
        <f>J861/J859</f>
        <v>0.2857142857</v>
      </c>
    </row>
    <row r="866">
      <c r="A866" s="48">
        <v>9.0</v>
      </c>
      <c r="B866" s="82">
        <v>0.0</v>
      </c>
      <c r="C866" s="38">
        <v>0.0</v>
      </c>
      <c r="D866" s="27">
        <v>0.0</v>
      </c>
      <c r="E866" s="27">
        <v>96.0</v>
      </c>
      <c r="F866" s="64">
        <v>21.0</v>
      </c>
      <c r="G866" s="51">
        <f t="shared" si="310"/>
        <v>0.3226</v>
      </c>
      <c r="H866" s="52">
        <f t="shared" si="311"/>
        <v>0.3432</v>
      </c>
      <c r="I866" s="85">
        <f t="shared" si="309"/>
        <v>0.3329</v>
      </c>
      <c r="J866" s="86"/>
    </row>
    <row r="867">
      <c r="A867" s="48">
        <v>10.0</v>
      </c>
      <c r="B867" s="82">
        <v>0.0</v>
      </c>
      <c r="C867" s="42">
        <v>0.0</v>
      </c>
      <c r="D867" s="27">
        <v>0.0</v>
      </c>
      <c r="E867" s="27">
        <v>0.0</v>
      </c>
      <c r="F867" s="87">
        <v>40.0</v>
      </c>
      <c r="G867" s="51">
        <f>(B867*0.5 + C867/100*0.2 + (51 - F867)/5*0.3)/10</f>
        <v>0.066</v>
      </c>
      <c r="H867" s="52">
        <f>(D867*0.5 + E867/100*0.2 + (51 - F867)/5*0.3)/10</f>
        <v>0.066</v>
      </c>
      <c r="I867" s="90">
        <f t="shared" si="309"/>
        <v>0.066</v>
      </c>
      <c r="J867" s="91"/>
    </row>
    <row r="868">
      <c r="A868" s="43" t="s">
        <v>33</v>
      </c>
      <c r="B868" s="92">
        <f>SUM(B858:B867)</f>
        <v>14</v>
      </c>
      <c r="C868" s="93">
        <f>AVERAGE(C858:C867)</f>
        <v>197.1</v>
      </c>
      <c r="D868" s="93">
        <f>SUM(D858:D867)</f>
        <v>4</v>
      </c>
      <c r="E868" s="93">
        <f t="shared" ref="E868:F868" si="312">AVERAGE(E858:E867)</f>
        <v>93</v>
      </c>
      <c r="F868" s="94">
        <f t="shared" si="312"/>
        <v>28.8</v>
      </c>
      <c r="G868" s="95">
        <f t="shared" ref="G868:H868" si="313">Average(G858:G867)</f>
        <v>0.28636</v>
      </c>
      <c r="H868" s="96">
        <f t="shared" si="313"/>
        <v>0.19858</v>
      </c>
      <c r="I868" s="97">
        <f t="shared" si="309"/>
        <v>0.24247</v>
      </c>
      <c r="J868" s="98"/>
    </row>
    <row r="870">
      <c r="A870" s="43"/>
      <c r="B870" s="43" t="s">
        <v>0</v>
      </c>
      <c r="C870" s="44" t="s">
        <v>171</v>
      </c>
      <c r="D870" s="43" t="s">
        <v>2</v>
      </c>
      <c r="E870" s="43" t="str">
        <f>"Game on " &amp; MATCH(MAX(I872:I881), I872:I881, 0) + ROW(I872) - 1 &amp; ". row"
</f>
        <v>Game on 873. row</v>
      </c>
      <c r="F870" s="43"/>
      <c r="G870" s="43"/>
      <c r="H870" s="43"/>
      <c r="I870" s="45"/>
    </row>
    <row r="871">
      <c r="A871" s="44" t="s">
        <v>172</v>
      </c>
      <c r="B871" s="46" t="s">
        <v>4</v>
      </c>
      <c r="C871" s="46" t="s">
        <v>5</v>
      </c>
      <c r="D871" s="46" t="s">
        <v>6</v>
      </c>
      <c r="E871" s="46" t="s">
        <v>7</v>
      </c>
      <c r="F871" s="46" t="s">
        <v>8</v>
      </c>
      <c r="G871" s="46"/>
      <c r="H871" s="46"/>
      <c r="I871" s="47"/>
      <c r="J871" s="46"/>
    </row>
    <row r="872">
      <c r="A872" s="48">
        <v>1.0</v>
      </c>
      <c r="B872" s="1">
        <v>1.0</v>
      </c>
      <c r="C872" s="1">
        <v>39.0</v>
      </c>
      <c r="D872" s="1">
        <v>0.0</v>
      </c>
      <c r="E872" s="1">
        <v>110.0</v>
      </c>
      <c r="F872" s="1">
        <v>25.0</v>
      </c>
      <c r="G872" s="51">
        <f t="shared" ref="G872:G877" si="314">(B872*0.5 + C872/100*0.2 + (51 - F872)/5*0.3)/10</f>
        <v>0.2138</v>
      </c>
      <c r="H872" s="52">
        <f t="shared" ref="H872:H877" si="315">(D872*0.5 + E872/100*0.2 + (51 - F872)/5*0.3)/10</f>
        <v>0.178</v>
      </c>
      <c r="I872" s="53">
        <f t="shared" ref="I872:I882" si="316">AVERAGE(G872,H872)</f>
        <v>0.1959</v>
      </c>
      <c r="J872" s="1" t="s">
        <v>15</v>
      </c>
    </row>
    <row r="873">
      <c r="A873" s="48">
        <v>2.0</v>
      </c>
      <c r="B873" s="1">
        <v>5.0</v>
      </c>
      <c r="C873" s="1">
        <v>536.0</v>
      </c>
      <c r="D873" s="1">
        <v>1.0</v>
      </c>
      <c r="E873" s="1">
        <v>166.0</v>
      </c>
      <c r="F873" s="1">
        <v>2.0</v>
      </c>
      <c r="G873" s="51">
        <f t="shared" si="314"/>
        <v>0.6512</v>
      </c>
      <c r="H873" s="52">
        <f t="shared" si="315"/>
        <v>0.3772</v>
      </c>
      <c r="I873" s="62">
        <f t="shared" si="316"/>
        <v>0.5142</v>
      </c>
      <c r="J873" s="6">
        <f>B882/10</f>
        <v>1.5</v>
      </c>
    </row>
    <row r="874">
      <c r="A874" s="48">
        <v>3.0</v>
      </c>
      <c r="B874" s="1">
        <v>2.0</v>
      </c>
      <c r="C874" s="1">
        <v>340.0</v>
      </c>
      <c r="D874" s="1">
        <v>2.0</v>
      </c>
      <c r="E874" s="1">
        <v>228.0</v>
      </c>
      <c r="F874" s="1">
        <v>11.0</v>
      </c>
      <c r="G874" s="51">
        <f t="shared" si="314"/>
        <v>0.408</v>
      </c>
      <c r="H874" s="52">
        <f t="shared" si="315"/>
        <v>0.3856</v>
      </c>
      <c r="I874" s="62">
        <f t="shared" si="316"/>
        <v>0.3968</v>
      </c>
      <c r="J874" s="1" t="s">
        <v>19</v>
      </c>
    </row>
    <row r="875">
      <c r="A875" s="48">
        <v>4.0</v>
      </c>
      <c r="B875" s="1">
        <v>1.0</v>
      </c>
      <c r="C875" s="1">
        <v>44.0</v>
      </c>
      <c r="D875" s="1">
        <v>1.0</v>
      </c>
      <c r="E875" s="1">
        <v>165.0</v>
      </c>
      <c r="F875" s="1">
        <v>16.0</v>
      </c>
      <c r="G875" s="51">
        <f t="shared" si="314"/>
        <v>0.2688</v>
      </c>
      <c r="H875" s="52">
        <f t="shared" si="315"/>
        <v>0.293</v>
      </c>
      <c r="I875" s="67">
        <f t="shared" si="316"/>
        <v>0.2809</v>
      </c>
      <c r="J875" s="6">
        <f>D882/10</f>
        <v>0.8</v>
      </c>
    </row>
    <row r="876">
      <c r="A876" s="48">
        <v>5.0</v>
      </c>
      <c r="B876" s="1">
        <v>3.0</v>
      </c>
      <c r="C876" s="1">
        <v>358.0</v>
      </c>
      <c r="D876" s="1">
        <v>0.0</v>
      </c>
      <c r="E876" s="1">
        <v>91.0</v>
      </c>
      <c r="F876" s="1">
        <v>8.0</v>
      </c>
      <c r="G876" s="51">
        <f t="shared" si="314"/>
        <v>0.4796</v>
      </c>
      <c r="H876" s="52">
        <f t="shared" si="315"/>
        <v>0.2762</v>
      </c>
      <c r="I876" s="67">
        <f t="shared" si="316"/>
        <v>0.3779</v>
      </c>
      <c r="J876" s="7" t="s">
        <v>23</v>
      </c>
    </row>
    <row r="877">
      <c r="A877" s="48">
        <v>6.0</v>
      </c>
      <c r="B877" s="1">
        <v>0.0</v>
      </c>
      <c r="C877" s="1">
        <v>61.0</v>
      </c>
      <c r="D877" s="1">
        <v>2.0</v>
      </c>
      <c r="E877" s="1">
        <v>464.0</v>
      </c>
      <c r="F877" s="1">
        <v>4.0</v>
      </c>
      <c r="G877" s="51">
        <f t="shared" si="314"/>
        <v>0.2942</v>
      </c>
      <c r="H877" s="52">
        <f t="shared" si="315"/>
        <v>0.4748</v>
      </c>
      <c r="I877" s="67">
        <f t="shared" si="316"/>
        <v>0.3845</v>
      </c>
      <c r="J877" s="8">
        <f>J873/J875</f>
        <v>1.875</v>
      </c>
    </row>
    <row r="878">
      <c r="A878" s="48">
        <v>7.0</v>
      </c>
      <c r="B878" s="1">
        <v>0.0</v>
      </c>
      <c r="C878" s="1">
        <v>0.0</v>
      </c>
      <c r="D878" s="1">
        <v>0.0</v>
      </c>
      <c r="E878" s="1">
        <v>27.0</v>
      </c>
      <c r="F878" s="1">
        <v>37.0</v>
      </c>
      <c r="G878" s="51">
        <f t="shared" ref="G878:G880" si="317">(B864*0.5 + C864/100*0.2 + (51 - F864)/5*0.3)/10</f>
        <v>0.072</v>
      </c>
      <c r="H878" s="52">
        <f t="shared" ref="H878:H880" si="318">(D864*0.5 + E864/100*0.2 + (51 - F864)/5*0.3)/10</f>
        <v>0.1158</v>
      </c>
      <c r="I878" s="78">
        <f t="shared" si="316"/>
        <v>0.0939</v>
      </c>
      <c r="J878" s="10" t="s">
        <v>27</v>
      </c>
    </row>
    <row r="879">
      <c r="A879" s="48">
        <v>8.0</v>
      </c>
      <c r="B879" s="1">
        <v>0.0</v>
      </c>
      <c r="C879" s="1">
        <v>48.0</v>
      </c>
      <c r="D879" s="1">
        <v>0.0</v>
      </c>
      <c r="E879" s="1">
        <v>0.0</v>
      </c>
      <c r="F879" s="1">
        <v>42.0</v>
      </c>
      <c r="G879" s="51">
        <f t="shared" si="317"/>
        <v>0.2774</v>
      </c>
      <c r="H879" s="52">
        <f t="shared" si="318"/>
        <v>0.259</v>
      </c>
      <c r="I879" s="13">
        <f t="shared" si="316"/>
        <v>0.2682</v>
      </c>
      <c r="J879" s="13">
        <f>J875/J873</f>
        <v>0.5333333333</v>
      </c>
    </row>
    <row r="880">
      <c r="A880" s="48">
        <v>9.0</v>
      </c>
      <c r="B880" s="1">
        <v>2.0</v>
      </c>
      <c r="C880" s="1">
        <v>270.0</v>
      </c>
      <c r="D880" s="1">
        <v>2.0</v>
      </c>
      <c r="E880" s="1">
        <v>154.0</v>
      </c>
      <c r="F880" s="1">
        <v>1.0</v>
      </c>
      <c r="G880" s="51">
        <f t="shared" si="317"/>
        <v>0.18</v>
      </c>
      <c r="H880" s="52">
        <f t="shared" si="318"/>
        <v>0.1992</v>
      </c>
      <c r="I880" s="85">
        <f t="shared" si="316"/>
        <v>0.1896</v>
      </c>
      <c r="J880" s="86"/>
    </row>
    <row r="881">
      <c r="A881" s="48">
        <v>10.0</v>
      </c>
      <c r="B881" s="82">
        <v>1.0</v>
      </c>
      <c r="C881" s="42">
        <v>100.0</v>
      </c>
      <c r="D881" s="27">
        <v>0.0</v>
      </c>
      <c r="E881" s="27">
        <v>24.0</v>
      </c>
      <c r="F881" s="87">
        <v>30.0</v>
      </c>
      <c r="G881" s="51">
        <f>(B881*0.5 + C881/100*0.2 + (51 - F881)/5*0.3)/10</f>
        <v>0.196</v>
      </c>
      <c r="H881" s="52">
        <f>(D881*0.5 + E881/100*0.2 + (51 - F881)/5*0.3)/10</f>
        <v>0.1308</v>
      </c>
      <c r="I881" s="90">
        <f t="shared" si="316"/>
        <v>0.1634</v>
      </c>
      <c r="J881" s="91"/>
    </row>
    <row r="882">
      <c r="A882" s="43" t="s">
        <v>33</v>
      </c>
      <c r="B882" s="92">
        <f>SUM(B872:B881)</f>
        <v>15</v>
      </c>
      <c r="C882" s="93">
        <f>AVERAGE(C872:C881)</f>
        <v>179.6</v>
      </c>
      <c r="D882" s="93">
        <f>SUM(D872:D881)</f>
        <v>8</v>
      </c>
      <c r="E882" s="93">
        <f t="shared" ref="E882:F882" si="319">AVERAGE(E872:E881)</f>
        <v>142.9</v>
      </c>
      <c r="F882" s="94">
        <f t="shared" si="319"/>
        <v>17.6</v>
      </c>
      <c r="G882" s="95">
        <f t="shared" ref="G882:H882" si="320">Average(G872:G881)</f>
        <v>0.3041</v>
      </c>
      <c r="H882" s="96">
        <f t="shared" si="320"/>
        <v>0.26896</v>
      </c>
      <c r="I882" s="97">
        <f t="shared" si="316"/>
        <v>0.28653</v>
      </c>
      <c r="J882" s="98"/>
    </row>
    <row r="884">
      <c r="A884" s="43"/>
      <c r="B884" s="43" t="s">
        <v>0</v>
      </c>
      <c r="C884" s="44" t="s">
        <v>171</v>
      </c>
      <c r="D884" s="43" t="s">
        <v>2</v>
      </c>
      <c r="E884" s="43" t="str">
        <f>"Game on " &amp; MATCH(MAX(I886:I895), I886:I895, 0) + ROW(I886) - 1 &amp; ". row"
</f>
        <v>Game on 894. row</v>
      </c>
      <c r="F884" s="43"/>
      <c r="G884" s="43"/>
      <c r="H884" s="43"/>
      <c r="I884" s="45"/>
    </row>
    <row r="885">
      <c r="A885" s="44" t="s">
        <v>173</v>
      </c>
      <c r="B885" s="46" t="s">
        <v>4</v>
      </c>
      <c r="C885" s="46" t="s">
        <v>5</v>
      </c>
      <c r="D885" s="46" t="s">
        <v>6</v>
      </c>
      <c r="E885" s="46" t="s">
        <v>7</v>
      </c>
      <c r="F885" s="46" t="s">
        <v>8</v>
      </c>
      <c r="G885" s="46"/>
      <c r="H885" s="46"/>
      <c r="I885" s="47"/>
      <c r="J885" s="46"/>
    </row>
    <row r="886">
      <c r="A886" s="48">
        <v>1.0</v>
      </c>
      <c r="B886" s="1">
        <v>0.0</v>
      </c>
      <c r="C886" s="1">
        <v>0.0</v>
      </c>
      <c r="D886" s="1">
        <v>0.0</v>
      </c>
      <c r="E886" s="1">
        <v>27.0</v>
      </c>
      <c r="F886" s="1">
        <v>16.0</v>
      </c>
      <c r="G886" s="51">
        <f t="shared" ref="G886:G891" si="321">(B886*0.5 + C886/100*0.2 + (51 - F886)/5*0.3)/10</f>
        <v>0.21</v>
      </c>
      <c r="H886" s="52">
        <f t="shared" ref="H886:H891" si="322">(D886*0.5 + E886/100*0.2 + (51 - F886)/5*0.3)/10</f>
        <v>0.2154</v>
      </c>
      <c r="I886" s="53">
        <f t="shared" ref="I886:I896" si="323">AVERAGE(G886,H886)</f>
        <v>0.2127</v>
      </c>
      <c r="J886" s="1" t="s">
        <v>15</v>
      </c>
    </row>
    <row r="887">
      <c r="A887" s="48">
        <v>2.0</v>
      </c>
      <c r="B887" s="1">
        <v>0.0</v>
      </c>
      <c r="C887" s="1">
        <v>100.0</v>
      </c>
      <c r="D887" s="1">
        <v>1.0</v>
      </c>
      <c r="E887" s="1">
        <v>322.0</v>
      </c>
      <c r="F887" s="1">
        <v>27.0</v>
      </c>
      <c r="G887" s="51">
        <f t="shared" si="321"/>
        <v>0.164</v>
      </c>
      <c r="H887" s="52">
        <f t="shared" si="322"/>
        <v>0.2584</v>
      </c>
      <c r="I887" s="62">
        <f t="shared" si="323"/>
        <v>0.2112</v>
      </c>
      <c r="J887" s="6">
        <f>B896/10</f>
        <v>0.9</v>
      </c>
    </row>
    <row r="888">
      <c r="A888" s="48">
        <v>3.0</v>
      </c>
      <c r="B888" s="1">
        <v>1.0</v>
      </c>
      <c r="C888" s="1">
        <v>217.0</v>
      </c>
      <c r="D888" s="1">
        <v>1.0</v>
      </c>
      <c r="E888" s="1">
        <v>164.0</v>
      </c>
      <c r="F888" s="1">
        <v>24.0</v>
      </c>
      <c r="G888" s="51">
        <f t="shared" si="321"/>
        <v>0.2554</v>
      </c>
      <c r="H888" s="52">
        <f t="shared" si="322"/>
        <v>0.2448</v>
      </c>
      <c r="I888" s="62">
        <f t="shared" si="323"/>
        <v>0.2501</v>
      </c>
      <c r="J888" s="1" t="s">
        <v>19</v>
      </c>
    </row>
    <row r="889">
      <c r="A889" s="48">
        <v>4.0</v>
      </c>
      <c r="B889" s="1">
        <v>1.0</v>
      </c>
      <c r="C889" s="1">
        <v>347.0</v>
      </c>
      <c r="D889" s="1">
        <v>0.0</v>
      </c>
      <c r="E889" s="1">
        <v>0.0</v>
      </c>
      <c r="F889" s="1">
        <v>9.0</v>
      </c>
      <c r="G889" s="51">
        <f t="shared" si="321"/>
        <v>0.3714</v>
      </c>
      <c r="H889" s="52">
        <f t="shared" si="322"/>
        <v>0.252</v>
      </c>
      <c r="I889" s="67">
        <f t="shared" si="323"/>
        <v>0.3117</v>
      </c>
      <c r="J889" s="6">
        <f>D896/10</f>
        <v>0.7</v>
      </c>
    </row>
    <row r="890">
      <c r="A890" s="48">
        <v>5.0</v>
      </c>
      <c r="B890" s="1">
        <v>2.0</v>
      </c>
      <c r="C890" s="1">
        <v>195.0</v>
      </c>
      <c r="D890" s="1">
        <v>2.0</v>
      </c>
      <c r="E890" s="1">
        <v>239.0</v>
      </c>
      <c r="F890" s="1">
        <v>13.0</v>
      </c>
      <c r="G890" s="51">
        <f t="shared" si="321"/>
        <v>0.367</v>
      </c>
      <c r="H890" s="52">
        <f t="shared" si="322"/>
        <v>0.3758</v>
      </c>
      <c r="I890" s="67">
        <f t="shared" si="323"/>
        <v>0.3714</v>
      </c>
      <c r="J890" s="7" t="s">
        <v>23</v>
      </c>
    </row>
    <row r="891">
      <c r="A891" s="48">
        <v>6.0</v>
      </c>
      <c r="B891" s="1">
        <v>1.0</v>
      </c>
      <c r="C891" s="1">
        <v>201.0</v>
      </c>
      <c r="D891" s="1">
        <v>0.0</v>
      </c>
      <c r="E891" s="1">
        <v>100.0</v>
      </c>
      <c r="F891" s="1">
        <v>3.0</v>
      </c>
      <c r="G891" s="51">
        <f t="shared" si="321"/>
        <v>0.3782</v>
      </c>
      <c r="H891" s="52">
        <f t="shared" si="322"/>
        <v>0.308</v>
      </c>
      <c r="I891" s="67">
        <f t="shared" si="323"/>
        <v>0.3431</v>
      </c>
      <c r="J891" s="8">
        <f>J887/J889</f>
        <v>1.285714286</v>
      </c>
    </row>
    <row r="892">
      <c r="A892" s="48">
        <v>7.0</v>
      </c>
      <c r="B892" s="1">
        <v>1.0</v>
      </c>
      <c r="C892" s="1">
        <v>161.0</v>
      </c>
      <c r="D892" s="1">
        <v>0.0</v>
      </c>
      <c r="E892" s="1">
        <v>71.0</v>
      </c>
      <c r="F892" s="1">
        <v>34.0</v>
      </c>
      <c r="G892" s="51">
        <f t="shared" ref="G892:G894" si="324">(B878*0.5 + C878/100*0.2 + (51 - F878)/5*0.3)/10</f>
        <v>0.084</v>
      </c>
      <c r="H892" s="52">
        <f t="shared" ref="H892:H894" si="325">(D878*0.5 + E878/100*0.2 + (51 - F878)/5*0.3)/10</f>
        <v>0.0894</v>
      </c>
      <c r="I892" s="78">
        <f t="shared" si="323"/>
        <v>0.0867</v>
      </c>
      <c r="J892" s="10" t="s">
        <v>27</v>
      </c>
    </row>
    <row r="893">
      <c r="A893" s="48">
        <v>8.0</v>
      </c>
      <c r="B893" s="1">
        <v>1.0</v>
      </c>
      <c r="C893" s="1">
        <v>246.0</v>
      </c>
      <c r="D893" s="1">
        <v>1.0</v>
      </c>
      <c r="E893" s="1">
        <v>241.0</v>
      </c>
      <c r="F893" s="1">
        <v>17.0</v>
      </c>
      <c r="G893" s="51">
        <f t="shared" si="324"/>
        <v>0.0636</v>
      </c>
      <c r="H893" s="52">
        <f t="shared" si="325"/>
        <v>0.054</v>
      </c>
      <c r="I893" s="13">
        <f t="shared" si="323"/>
        <v>0.0588</v>
      </c>
      <c r="J893" s="13">
        <f>J889/J887</f>
        <v>0.7777777778</v>
      </c>
    </row>
    <row r="894">
      <c r="A894" s="48">
        <v>9.0</v>
      </c>
      <c r="B894" s="1">
        <v>1.0</v>
      </c>
      <c r="C894" s="1">
        <v>175.0</v>
      </c>
      <c r="D894" s="1">
        <v>0.0</v>
      </c>
      <c r="E894" s="1">
        <v>58.0</v>
      </c>
      <c r="F894" s="1">
        <v>36.0</v>
      </c>
      <c r="G894" s="51">
        <f t="shared" si="324"/>
        <v>0.454</v>
      </c>
      <c r="H894" s="52">
        <f t="shared" si="325"/>
        <v>0.4308</v>
      </c>
      <c r="I894" s="85">
        <f t="shared" si="323"/>
        <v>0.4424</v>
      </c>
      <c r="J894" s="86"/>
    </row>
    <row r="895">
      <c r="A895" s="48">
        <v>10.0</v>
      </c>
      <c r="B895" s="82">
        <v>1.0</v>
      </c>
      <c r="C895" s="42">
        <v>385.0</v>
      </c>
      <c r="D895" s="27">
        <v>2.0</v>
      </c>
      <c r="E895" s="27">
        <v>302.0</v>
      </c>
      <c r="F895" s="87">
        <v>5.0</v>
      </c>
      <c r="G895" s="51">
        <f>(B895*0.5 + C895/100*0.2 + (51 - F895)/5*0.3)/10</f>
        <v>0.403</v>
      </c>
      <c r="H895" s="52">
        <f>(D895*0.5 + E895/100*0.2 + (51 - F895)/5*0.3)/10</f>
        <v>0.4364</v>
      </c>
      <c r="I895" s="90">
        <f t="shared" si="323"/>
        <v>0.4197</v>
      </c>
      <c r="J895" s="91"/>
    </row>
    <row r="896">
      <c r="A896" s="43" t="s">
        <v>33</v>
      </c>
      <c r="B896" s="92">
        <f>SUM(B886:B895)</f>
        <v>9</v>
      </c>
      <c r="C896" s="93">
        <f>AVERAGE(C886:C895)</f>
        <v>202.7</v>
      </c>
      <c r="D896" s="93">
        <f>SUM(D886:D895)</f>
        <v>7</v>
      </c>
      <c r="E896" s="93">
        <f t="shared" ref="E896:F896" si="326">AVERAGE(E886:E895)</f>
        <v>152.4</v>
      </c>
      <c r="F896" s="94">
        <f t="shared" si="326"/>
        <v>18.4</v>
      </c>
      <c r="G896" s="95">
        <f t="shared" ref="G896:H896" si="327">Average(G886:G895)</f>
        <v>0.27506</v>
      </c>
      <c r="H896" s="96">
        <f t="shared" si="327"/>
        <v>0.2665</v>
      </c>
      <c r="I896" s="97">
        <f t="shared" si="323"/>
        <v>0.27078</v>
      </c>
      <c r="J896" s="98"/>
    </row>
    <row r="898">
      <c r="A898" s="43"/>
      <c r="B898" s="43" t="s">
        <v>0</v>
      </c>
      <c r="C898" s="44" t="s">
        <v>174</v>
      </c>
      <c r="D898" s="43" t="s">
        <v>2</v>
      </c>
      <c r="E898" s="43" t="str">
        <f>"Game on " &amp; MATCH(MAX(I900:I909), I900:I909, 0) + ROW(I900) - 1 &amp; ". row"
</f>
        <v>Game on 901. row</v>
      </c>
      <c r="F898" s="43"/>
      <c r="G898" s="43"/>
      <c r="H898" s="43"/>
      <c r="I898" s="45"/>
    </row>
    <row r="899">
      <c r="A899" s="44" t="s">
        <v>175</v>
      </c>
      <c r="B899" s="46" t="s">
        <v>4</v>
      </c>
      <c r="C899" s="46" t="s">
        <v>5</v>
      </c>
      <c r="D899" s="46" t="s">
        <v>6</v>
      </c>
      <c r="E899" s="46" t="s">
        <v>7</v>
      </c>
      <c r="F899" s="46" t="s">
        <v>8</v>
      </c>
      <c r="G899" s="46"/>
      <c r="H899" s="46"/>
      <c r="I899" s="47"/>
      <c r="J899" s="46"/>
    </row>
    <row r="900">
      <c r="A900" s="48">
        <v>1.0</v>
      </c>
      <c r="B900" s="1">
        <v>2.0</v>
      </c>
      <c r="C900" s="1">
        <v>318.0</v>
      </c>
      <c r="D900" s="1">
        <v>2.0</v>
      </c>
      <c r="E900" s="1">
        <v>216.0</v>
      </c>
      <c r="F900" s="1">
        <v>10.0</v>
      </c>
      <c r="G900" s="51">
        <f t="shared" ref="G900:G909" si="328">(B900*0.5 + C900/100*0.2 + (51 - F900)/5*0.3)/10</f>
        <v>0.4096</v>
      </c>
      <c r="H900" s="52">
        <f t="shared" ref="H900:H909" si="329">(D900*0.5 + E900/100*0.2 + (51 - F900)/5*0.3)/10</f>
        <v>0.3892</v>
      </c>
      <c r="I900" s="53">
        <f t="shared" ref="I900:I910" si="330">AVERAGE(G900,H900)</f>
        <v>0.3994</v>
      </c>
      <c r="J900" s="1" t="s">
        <v>15</v>
      </c>
    </row>
    <row r="901">
      <c r="A901" s="48">
        <v>2.0</v>
      </c>
      <c r="B901" s="1">
        <v>5.0</v>
      </c>
      <c r="C901" s="1">
        <v>795.0</v>
      </c>
      <c r="D901" s="1">
        <v>6.0</v>
      </c>
      <c r="E901" s="1">
        <v>711.0</v>
      </c>
      <c r="F901" s="1">
        <v>3.0</v>
      </c>
      <c r="G901" s="51">
        <f t="shared" si="328"/>
        <v>0.697</v>
      </c>
      <c r="H901" s="52">
        <f t="shared" si="329"/>
        <v>0.7302</v>
      </c>
      <c r="I901" s="53">
        <f t="shared" si="330"/>
        <v>0.7136</v>
      </c>
      <c r="J901" s="6">
        <f>B910/10</f>
        <v>1.8</v>
      </c>
    </row>
    <row r="902">
      <c r="A902" s="48">
        <v>3.0</v>
      </c>
      <c r="B902" s="1">
        <v>0.0</v>
      </c>
      <c r="C902" s="1">
        <v>143.0</v>
      </c>
      <c r="D902" s="1">
        <v>0.0</v>
      </c>
      <c r="E902" s="1">
        <v>0.0</v>
      </c>
      <c r="F902" s="1">
        <v>47.0</v>
      </c>
      <c r="G902" s="51">
        <f t="shared" si="328"/>
        <v>0.0526</v>
      </c>
      <c r="H902" s="52">
        <f t="shared" si="329"/>
        <v>0.024</v>
      </c>
      <c r="I902" s="53">
        <f t="shared" si="330"/>
        <v>0.0383</v>
      </c>
      <c r="J902" s="1" t="s">
        <v>19</v>
      </c>
    </row>
    <row r="903">
      <c r="A903" s="48">
        <v>4.0</v>
      </c>
      <c r="B903" s="1">
        <v>2.0</v>
      </c>
      <c r="C903" s="1">
        <v>258.0</v>
      </c>
      <c r="D903" s="1">
        <v>0.0</v>
      </c>
      <c r="E903" s="1">
        <v>0.0</v>
      </c>
      <c r="F903" s="1">
        <v>22.0</v>
      </c>
      <c r="G903" s="51">
        <f t="shared" si="328"/>
        <v>0.3256</v>
      </c>
      <c r="H903" s="52">
        <f t="shared" si="329"/>
        <v>0.174</v>
      </c>
      <c r="I903" s="53">
        <f t="shared" si="330"/>
        <v>0.2498</v>
      </c>
      <c r="J903" s="6">
        <f>D910/10</f>
        <v>1.4</v>
      </c>
    </row>
    <row r="904">
      <c r="A904" s="48">
        <v>5.0</v>
      </c>
      <c r="B904" s="1">
        <v>2.0</v>
      </c>
      <c r="C904" s="1">
        <v>271.0</v>
      </c>
      <c r="D904" s="1">
        <v>0.0</v>
      </c>
      <c r="E904" s="1">
        <v>0.0</v>
      </c>
      <c r="F904" s="1">
        <v>20.0</v>
      </c>
      <c r="G904" s="51">
        <f t="shared" si="328"/>
        <v>0.3402</v>
      </c>
      <c r="H904" s="52">
        <f t="shared" si="329"/>
        <v>0.186</v>
      </c>
      <c r="I904" s="53">
        <f t="shared" si="330"/>
        <v>0.2631</v>
      </c>
      <c r="J904" s="7" t="s">
        <v>23</v>
      </c>
    </row>
    <row r="905">
      <c r="A905" s="48">
        <v>6.0</v>
      </c>
      <c r="B905" s="1">
        <v>2.0</v>
      </c>
      <c r="C905" s="1">
        <v>254.0</v>
      </c>
      <c r="D905" s="1">
        <v>0.0</v>
      </c>
      <c r="E905" s="1">
        <v>108.0</v>
      </c>
      <c r="F905" s="1">
        <v>16.0</v>
      </c>
      <c r="G905" s="51">
        <f t="shared" si="328"/>
        <v>0.3608</v>
      </c>
      <c r="H905" s="52">
        <f t="shared" si="329"/>
        <v>0.2316</v>
      </c>
      <c r="I905" s="53">
        <f t="shared" si="330"/>
        <v>0.2962</v>
      </c>
      <c r="J905" s="8">
        <f>J901/J903</f>
        <v>1.285714286</v>
      </c>
    </row>
    <row r="906">
      <c r="A906" s="48">
        <v>7.0</v>
      </c>
      <c r="B906" s="1">
        <v>0.0</v>
      </c>
      <c r="C906" s="1">
        <v>167.0</v>
      </c>
      <c r="D906" s="1">
        <v>2.0</v>
      </c>
      <c r="E906" s="1">
        <v>199.0</v>
      </c>
      <c r="F906" s="1">
        <v>10.0</v>
      </c>
      <c r="G906" s="51">
        <f t="shared" si="328"/>
        <v>0.2794</v>
      </c>
      <c r="H906" s="52">
        <f t="shared" si="329"/>
        <v>0.3858</v>
      </c>
      <c r="I906" s="53">
        <f t="shared" si="330"/>
        <v>0.3326</v>
      </c>
      <c r="J906" s="10" t="s">
        <v>27</v>
      </c>
    </row>
    <row r="907">
      <c r="A907" s="48">
        <v>8.0</v>
      </c>
      <c r="B907" s="1">
        <v>1.0</v>
      </c>
      <c r="C907" s="1">
        <v>283.0</v>
      </c>
      <c r="D907" s="1">
        <v>2.0</v>
      </c>
      <c r="E907" s="1">
        <v>175.0</v>
      </c>
      <c r="F907" s="1">
        <v>11.0</v>
      </c>
      <c r="G907" s="51">
        <f t="shared" si="328"/>
        <v>0.3466</v>
      </c>
      <c r="H907" s="52">
        <f t="shared" si="329"/>
        <v>0.375</v>
      </c>
      <c r="I907" s="53">
        <f t="shared" si="330"/>
        <v>0.3608</v>
      </c>
      <c r="J907" s="13">
        <f>J903/J901</f>
        <v>0.7777777778</v>
      </c>
    </row>
    <row r="908">
      <c r="A908" s="48">
        <v>9.0</v>
      </c>
      <c r="B908" s="1">
        <v>1.0</v>
      </c>
      <c r="C908" s="1">
        <v>458.0</v>
      </c>
      <c r="D908" s="1">
        <v>1.0</v>
      </c>
      <c r="E908" s="1">
        <v>253.0</v>
      </c>
      <c r="F908" s="1">
        <v>15.0</v>
      </c>
      <c r="G908" s="51">
        <f t="shared" si="328"/>
        <v>0.3576</v>
      </c>
      <c r="H908" s="52">
        <f t="shared" si="329"/>
        <v>0.3166</v>
      </c>
      <c r="I908" s="53">
        <f t="shared" si="330"/>
        <v>0.3371</v>
      </c>
      <c r="J908" s="86"/>
    </row>
    <row r="909">
      <c r="A909" s="48">
        <v>10.0</v>
      </c>
      <c r="B909" s="1">
        <v>3.0</v>
      </c>
      <c r="C909" s="1">
        <v>594.0</v>
      </c>
      <c r="D909" s="1">
        <v>1.0</v>
      </c>
      <c r="E909" s="1">
        <v>296.0</v>
      </c>
      <c r="F909" s="1">
        <v>2.0</v>
      </c>
      <c r="G909" s="51">
        <f t="shared" si="328"/>
        <v>0.5628</v>
      </c>
      <c r="H909" s="52">
        <f t="shared" si="329"/>
        <v>0.4032</v>
      </c>
      <c r="I909" s="53">
        <f t="shared" si="330"/>
        <v>0.483</v>
      </c>
      <c r="J909" s="91"/>
    </row>
    <row r="910">
      <c r="A910" s="43" t="s">
        <v>33</v>
      </c>
      <c r="B910" s="92">
        <f>SUM(B900:B909)</f>
        <v>18</v>
      </c>
      <c r="C910" s="93">
        <f>AVERAGE(C900:C909)</f>
        <v>354.1</v>
      </c>
      <c r="D910" s="93">
        <f>SUM(D900:D909)</f>
        <v>14</v>
      </c>
      <c r="E910" s="93">
        <f t="shared" ref="E910:F910" si="331">AVERAGE(E900:E909)</f>
        <v>195.8</v>
      </c>
      <c r="F910" s="94">
        <f t="shared" si="331"/>
        <v>15.6</v>
      </c>
      <c r="G910" s="95">
        <f t="shared" ref="G910:H910" si="332">Average(G900:G909)</f>
        <v>0.37322</v>
      </c>
      <c r="H910" s="96">
        <f t="shared" si="332"/>
        <v>0.32156</v>
      </c>
      <c r="I910" s="97">
        <f t="shared" si="330"/>
        <v>0.34739</v>
      </c>
      <c r="J910" s="98"/>
    </row>
    <row r="912">
      <c r="A912" s="43"/>
      <c r="B912" s="43" t="s">
        <v>0</v>
      </c>
      <c r="C912" s="44" t="s">
        <v>176</v>
      </c>
      <c r="D912" s="43" t="s">
        <v>2</v>
      </c>
      <c r="E912" s="43" t="str">
        <f>"Game on " &amp; MATCH(MAX(I914:I923), I914:I923, 0) + ROW(I914) - 1 &amp; ". row"
</f>
        <v>Game on 917. row</v>
      </c>
      <c r="F912" s="43"/>
      <c r="G912" s="43"/>
      <c r="H912" s="43"/>
      <c r="I912" s="45"/>
    </row>
    <row r="913">
      <c r="A913" s="44" t="s">
        <v>177</v>
      </c>
      <c r="B913" s="46" t="s">
        <v>4</v>
      </c>
      <c r="C913" s="46" t="s">
        <v>5</v>
      </c>
      <c r="D913" s="46" t="s">
        <v>6</v>
      </c>
      <c r="E913" s="46" t="s">
        <v>7</v>
      </c>
      <c r="F913" s="46" t="s">
        <v>8</v>
      </c>
      <c r="G913" s="46"/>
      <c r="H913" s="46"/>
      <c r="I913" s="47"/>
      <c r="J913" s="46"/>
    </row>
    <row r="914">
      <c r="A914" s="48">
        <v>1.0</v>
      </c>
      <c r="B914" s="1">
        <v>1.0</v>
      </c>
      <c r="C914" s="1">
        <v>125.0</v>
      </c>
      <c r="D914" s="1">
        <v>1.0</v>
      </c>
      <c r="E914" s="1">
        <v>100.0</v>
      </c>
      <c r="F914" s="1">
        <v>6.0</v>
      </c>
      <c r="G914" s="51">
        <f t="shared" ref="G914:G923" si="333">(B914*0.5 + C914/100*0.2 + (51 - F914)/5*0.3)/10</f>
        <v>0.345</v>
      </c>
      <c r="H914" s="52">
        <f t="shared" ref="H914:H923" si="334">(D914*0.5 + E914/100*0.2 + (51 - F914)/5*0.3)/10</f>
        <v>0.34</v>
      </c>
      <c r="I914" s="67">
        <f t="shared" ref="I914:I924" si="335">AVERAGE(G914,H914)</f>
        <v>0.3425</v>
      </c>
      <c r="J914" s="1" t="s">
        <v>15</v>
      </c>
    </row>
    <row r="915">
      <c r="A915" s="48">
        <v>2.0</v>
      </c>
      <c r="B915" s="1">
        <v>0.0</v>
      </c>
      <c r="C915" s="1">
        <v>0.0</v>
      </c>
      <c r="D915" s="1">
        <v>0.0</v>
      </c>
      <c r="E915" s="1">
        <v>0.0</v>
      </c>
      <c r="F915" s="1">
        <v>21.0</v>
      </c>
      <c r="G915" s="51">
        <f t="shared" si="333"/>
        <v>0.18</v>
      </c>
      <c r="H915" s="52">
        <f t="shared" si="334"/>
        <v>0.18</v>
      </c>
      <c r="I915" s="67">
        <f t="shared" si="335"/>
        <v>0.18</v>
      </c>
      <c r="J915" s="6">
        <f>B924/10</f>
        <v>0.3</v>
      </c>
    </row>
    <row r="916">
      <c r="A916" s="48">
        <v>3.0</v>
      </c>
      <c r="B916" s="1">
        <v>0.0</v>
      </c>
      <c r="C916" s="1">
        <v>100.0</v>
      </c>
      <c r="D916" s="1">
        <v>0.0</v>
      </c>
      <c r="E916" s="1">
        <v>67.0</v>
      </c>
      <c r="F916" s="1">
        <v>33.0</v>
      </c>
      <c r="G916" s="51">
        <f t="shared" si="333"/>
        <v>0.128</v>
      </c>
      <c r="H916" s="52">
        <f t="shared" si="334"/>
        <v>0.1214</v>
      </c>
      <c r="I916" s="67">
        <f t="shared" si="335"/>
        <v>0.1247</v>
      </c>
      <c r="J916" s="1" t="s">
        <v>19</v>
      </c>
    </row>
    <row r="917">
      <c r="A917" s="48">
        <v>4.0</v>
      </c>
      <c r="B917" s="82">
        <v>1.0</v>
      </c>
      <c r="C917" s="42">
        <v>356.0</v>
      </c>
      <c r="D917" s="27">
        <v>3.0</v>
      </c>
      <c r="E917" s="27">
        <v>422.0</v>
      </c>
      <c r="F917" s="87">
        <v>17.0</v>
      </c>
      <c r="G917" s="51">
        <f t="shared" si="333"/>
        <v>0.3252</v>
      </c>
      <c r="H917" s="52">
        <f t="shared" si="334"/>
        <v>0.4384</v>
      </c>
      <c r="I917" s="67">
        <f t="shared" si="335"/>
        <v>0.3818</v>
      </c>
      <c r="J917" s="6">
        <f>D924/10</f>
        <v>0.6</v>
      </c>
    </row>
    <row r="918">
      <c r="A918" s="48">
        <v>5.0</v>
      </c>
      <c r="B918" s="1">
        <v>0.0</v>
      </c>
      <c r="C918" s="1">
        <v>180.0</v>
      </c>
      <c r="D918" s="1">
        <v>0.0</v>
      </c>
      <c r="E918" s="1">
        <v>290.0</v>
      </c>
      <c r="F918" s="1">
        <v>7.0</v>
      </c>
      <c r="G918" s="51">
        <f t="shared" si="333"/>
        <v>0.3</v>
      </c>
      <c r="H918" s="52">
        <f t="shared" si="334"/>
        <v>0.322</v>
      </c>
      <c r="I918" s="67">
        <f t="shared" si="335"/>
        <v>0.311</v>
      </c>
      <c r="J918" s="7" t="s">
        <v>23</v>
      </c>
    </row>
    <row r="919">
      <c r="A919" s="48">
        <v>6.0</v>
      </c>
      <c r="B919" s="1">
        <v>0.0</v>
      </c>
      <c r="C919" s="1">
        <v>130.0</v>
      </c>
      <c r="D919" s="1">
        <v>0.0</v>
      </c>
      <c r="E919" s="1">
        <v>36.0</v>
      </c>
      <c r="F919" s="1">
        <v>22.0</v>
      </c>
      <c r="G919" s="51">
        <f t="shared" si="333"/>
        <v>0.2</v>
      </c>
      <c r="H919" s="52">
        <f t="shared" si="334"/>
        <v>0.1812</v>
      </c>
      <c r="I919" s="67">
        <f t="shared" si="335"/>
        <v>0.1906</v>
      </c>
      <c r="J919" s="8">
        <f>J915/J917</f>
        <v>0.5</v>
      </c>
    </row>
    <row r="920">
      <c r="A920" s="48">
        <v>7.0</v>
      </c>
      <c r="B920" s="1">
        <v>0.0</v>
      </c>
      <c r="C920" s="1">
        <v>99.0</v>
      </c>
      <c r="D920" s="1">
        <v>0.0</v>
      </c>
      <c r="E920" s="1">
        <v>0.0</v>
      </c>
      <c r="F920" s="1">
        <v>37.0</v>
      </c>
      <c r="G920" s="51">
        <f t="shared" si="333"/>
        <v>0.1038</v>
      </c>
      <c r="H920" s="52">
        <f t="shared" si="334"/>
        <v>0.084</v>
      </c>
      <c r="I920" s="67">
        <f t="shared" si="335"/>
        <v>0.0939</v>
      </c>
      <c r="J920" s="10" t="s">
        <v>27</v>
      </c>
    </row>
    <row r="921">
      <c r="A921" s="48">
        <v>8.0</v>
      </c>
      <c r="B921" s="1">
        <v>0.0</v>
      </c>
      <c r="C921" s="1">
        <v>0.0</v>
      </c>
      <c r="D921" s="1">
        <v>0.0</v>
      </c>
      <c r="E921" s="1">
        <v>0.0</v>
      </c>
      <c r="F921" s="1">
        <v>30.0</v>
      </c>
      <c r="G921" s="51">
        <f t="shared" si="333"/>
        <v>0.126</v>
      </c>
      <c r="H921" s="52">
        <f t="shared" si="334"/>
        <v>0.126</v>
      </c>
      <c r="I921" s="67">
        <f t="shared" si="335"/>
        <v>0.126</v>
      </c>
      <c r="J921" s="13">
        <f>J917/J915</f>
        <v>2</v>
      </c>
    </row>
    <row r="922">
      <c r="A922" s="48">
        <v>9.0</v>
      </c>
      <c r="B922" s="1">
        <v>1.0</v>
      </c>
      <c r="C922" s="1">
        <v>100.0</v>
      </c>
      <c r="D922" s="1">
        <v>1.0</v>
      </c>
      <c r="E922" s="1">
        <v>161.0</v>
      </c>
      <c r="F922" s="1">
        <v>21.0</v>
      </c>
      <c r="G922" s="51">
        <f t="shared" si="333"/>
        <v>0.25</v>
      </c>
      <c r="H922" s="52">
        <f t="shared" si="334"/>
        <v>0.2622</v>
      </c>
      <c r="I922" s="67">
        <f t="shared" si="335"/>
        <v>0.2561</v>
      </c>
      <c r="J922" s="86"/>
    </row>
    <row r="923">
      <c r="A923" s="48">
        <v>10.0</v>
      </c>
      <c r="B923" s="1">
        <v>0.0</v>
      </c>
      <c r="C923" s="1">
        <v>0.0</v>
      </c>
      <c r="D923" s="1">
        <v>1.0</v>
      </c>
      <c r="E923" s="1">
        <v>141.0</v>
      </c>
      <c r="F923" s="1">
        <v>46.0</v>
      </c>
      <c r="G923" s="51">
        <f t="shared" si="333"/>
        <v>0.03</v>
      </c>
      <c r="H923" s="52">
        <f t="shared" si="334"/>
        <v>0.1082</v>
      </c>
      <c r="I923" s="67">
        <f t="shared" si="335"/>
        <v>0.0691</v>
      </c>
      <c r="J923" s="91"/>
    </row>
    <row r="924">
      <c r="A924" s="43" t="s">
        <v>33</v>
      </c>
      <c r="B924" s="92">
        <f>SUM(B914:B923)</f>
        <v>3</v>
      </c>
      <c r="C924" s="93">
        <f>AVERAGE(C914:C923)</f>
        <v>109</v>
      </c>
      <c r="D924" s="93">
        <f>SUM(D914:D923)</f>
        <v>6</v>
      </c>
      <c r="E924" s="93">
        <f t="shared" ref="E924:F924" si="336">AVERAGE(E914:E923)</f>
        <v>121.7</v>
      </c>
      <c r="F924" s="94">
        <f t="shared" si="336"/>
        <v>24</v>
      </c>
      <c r="G924" s="95">
        <f t="shared" ref="G924:H924" si="337">Average(G914:G923)</f>
        <v>0.1988</v>
      </c>
      <c r="H924" s="96">
        <f t="shared" si="337"/>
        <v>0.21634</v>
      </c>
      <c r="I924" s="97">
        <f t="shared" si="335"/>
        <v>0.20757</v>
      </c>
      <c r="J924" s="98"/>
    </row>
    <row r="926">
      <c r="A926" s="43"/>
      <c r="B926" s="43" t="s">
        <v>0</v>
      </c>
      <c r="C926" s="44" t="s">
        <v>178</v>
      </c>
      <c r="D926" s="43" t="s">
        <v>2</v>
      </c>
      <c r="E926" s="43" t="str">
        <f>"Game on " &amp; MATCH(MAX(I928:I937), I928:I937, 0) + ROW(I928) - 1 &amp; ". row"
</f>
        <v>Game on 936. row</v>
      </c>
      <c r="F926" s="43"/>
      <c r="G926" s="43"/>
      <c r="H926" s="43"/>
      <c r="I926" s="45"/>
    </row>
    <row r="927">
      <c r="A927" s="44" t="s">
        <v>179</v>
      </c>
      <c r="B927" s="46" t="s">
        <v>4</v>
      </c>
      <c r="C927" s="46" t="s">
        <v>5</v>
      </c>
      <c r="D927" s="46" t="s">
        <v>6</v>
      </c>
      <c r="E927" s="46" t="s">
        <v>7</v>
      </c>
      <c r="F927" s="46" t="s">
        <v>8</v>
      </c>
      <c r="G927" s="46"/>
      <c r="H927" s="46"/>
      <c r="I927" s="47"/>
      <c r="J927" s="46"/>
    </row>
    <row r="928">
      <c r="A928" s="48">
        <v>1.0</v>
      </c>
      <c r="B928" s="1">
        <v>1.0</v>
      </c>
      <c r="C928" s="1">
        <v>185.0</v>
      </c>
      <c r="D928" s="1">
        <v>1.0</v>
      </c>
      <c r="E928" s="1">
        <v>150.0</v>
      </c>
      <c r="F928" s="1">
        <v>21.0</v>
      </c>
      <c r="G928" s="51">
        <f t="shared" ref="G928:G937" si="338">(B928*0.5 + C928/100*0.2 + (51 - F928)/5*0.3)/10</f>
        <v>0.267</v>
      </c>
      <c r="H928" s="52">
        <f t="shared" ref="H928:H937" si="339">(D928*0.5 + E928/100*0.2 + (51 - F928)/5*0.3)/10</f>
        <v>0.26</v>
      </c>
      <c r="I928" s="67">
        <f t="shared" ref="I928:I938" si="340">AVERAGE(G928,H928)</f>
        <v>0.2635</v>
      </c>
      <c r="J928" s="1" t="s">
        <v>15</v>
      </c>
    </row>
    <row r="929">
      <c r="A929" s="48">
        <v>2.0</v>
      </c>
      <c r="B929" s="1">
        <v>0.0</v>
      </c>
      <c r="C929" s="1">
        <v>164.0</v>
      </c>
      <c r="D929" s="1">
        <v>0.0</v>
      </c>
      <c r="E929" s="1">
        <v>42.0</v>
      </c>
      <c r="F929" s="1">
        <v>33.0</v>
      </c>
      <c r="G929" s="51">
        <f t="shared" si="338"/>
        <v>0.1408</v>
      </c>
      <c r="H929" s="52">
        <f t="shared" si="339"/>
        <v>0.1164</v>
      </c>
      <c r="I929" s="67">
        <f t="shared" si="340"/>
        <v>0.1286</v>
      </c>
      <c r="J929" s="6">
        <f>B938/10</f>
        <v>1</v>
      </c>
    </row>
    <row r="930">
      <c r="A930" s="48">
        <v>3.0</v>
      </c>
      <c r="B930" s="1">
        <v>0.0</v>
      </c>
      <c r="C930" s="1">
        <v>0.0</v>
      </c>
      <c r="D930" s="1">
        <v>0.0</v>
      </c>
      <c r="E930" s="1">
        <v>0.0</v>
      </c>
      <c r="F930" s="1">
        <v>48.0</v>
      </c>
      <c r="G930" s="51">
        <f t="shared" si="338"/>
        <v>0.018</v>
      </c>
      <c r="H930" s="52">
        <f t="shared" si="339"/>
        <v>0.018</v>
      </c>
      <c r="I930" s="67">
        <f t="shared" si="340"/>
        <v>0.018</v>
      </c>
      <c r="J930" s="1" t="s">
        <v>19</v>
      </c>
    </row>
    <row r="931">
      <c r="A931" s="48">
        <v>4.0</v>
      </c>
      <c r="B931" s="82">
        <v>0.0</v>
      </c>
      <c r="C931" s="42">
        <v>322.0</v>
      </c>
      <c r="D931" s="27">
        <v>0.0</v>
      </c>
      <c r="E931" s="27">
        <v>105.0</v>
      </c>
      <c r="F931" s="87">
        <v>28.0</v>
      </c>
      <c r="G931" s="51">
        <f t="shared" si="338"/>
        <v>0.2024</v>
      </c>
      <c r="H931" s="52">
        <f t="shared" si="339"/>
        <v>0.159</v>
      </c>
      <c r="I931" s="67">
        <f t="shared" si="340"/>
        <v>0.1807</v>
      </c>
      <c r="J931" s="6">
        <f>D938/10</f>
        <v>0.7</v>
      </c>
    </row>
    <row r="932">
      <c r="A932" s="48">
        <v>5.0</v>
      </c>
      <c r="B932" s="1">
        <v>0.0</v>
      </c>
      <c r="C932" s="1">
        <v>25.0</v>
      </c>
      <c r="D932" s="1">
        <v>0.0</v>
      </c>
      <c r="E932" s="1">
        <v>105.0</v>
      </c>
      <c r="F932" s="1">
        <v>24.0</v>
      </c>
      <c r="G932" s="51">
        <f t="shared" si="338"/>
        <v>0.167</v>
      </c>
      <c r="H932" s="52">
        <f t="shared" si="339"/>
        <v>0.183</v>
      </c>
      <c r="I932" s="67">
        <f t="shared" si="340"/>
        <v>0.175</v>
      </c>
      <c r="J932" s="7" t="s">
        <v>23</v>
      </c>
    </row>
    <row r="933">
      <c r="A933" s="48">
        <v>6.0</v>
      </c>
      <c r="B933" s="1">
        <v>1.0</v>
      </c>
      <c r="C933" s="1">
        <v>194.0</v>
      </c>
      <c r="D933" s="1">
        <v>0.0</v>
      </c>
      <c r="E933" s="1">
        <v>117.0</v>
      </c>
      <c r="F933" s="1">
        <v>34.0</v>
      </c>
      <c r="G933" s="51">
        <f t="shared" si="338"/>
        <v>0.1908</v>
      </c>
      <c r="H933" s="52">
        <f t="shared" si="339"/>
        <v>0.1254</v>
      </c>
      <c r="I933" s="67">
        <f t="shared" si="340"/>
        <v>0.1581</v>
      </c>
      <c r="J933" s="8">
        <f>J929/J931</f>
        <v>1.428571429</v>
      </c>
    </row>
    <row r="934">
      <c r="A934" s="48">
        <v>7.0</v>
      </c>
      <c r="B934" s="1">
        <v>3.0</v>
      </c>
      <c r="C934" s="1">
        <v>661.0</v>
      </c>
      <c r="D934" s="1">
        <v>1.0</v>
      </c>
      <c r="E934" s="1">
        <v>75.0</v>
      </c>
      <c r="F934" s="1">
        <v>4.0</v>
      </c>
      <c r="G934" s="51">
        <f t="shared" si="338"/>
        <v>0.5642</v>
      </c>
      <c r="H934" s="52">
        <f t="shared" si="339"/>
        <v>0.347</v>
      </c>
      <c r="I934" s="67">
        <f t="shared" si="340"/>
        <v>0.4556</v>
      </c>
      <c r="J934" s="10" t="s">
        <v>27</v>
      </c>
    </row>
    <row r="935">
      <c r="A935" s="48">
        <v>8.0</v>
      </c>
      <c r="B935" s="1">
        <v>1.0</v>
      </c>
      <c r="C935" s="1">
        <v>122.0</v>
      </c>
      <c r="D935" s="1">
        <v>0.0</v>
      </c>
      <c r="E935" s="1">
        <v>0.0</v>
      </c>
      <c r="F935" s="1">
        <v>15.0</v>
      </c>
      <c r="G935" s="51">
        <f t="shared" si="338"/>
        <v>0.2904</v>
      </c>
      <c r="H935" s="52">
        <f t="shared" si="339"/>
        <v>0.216</v>
      </c>
      <c r="I935" s="67">
        <f t="shared" si="340"/>
        <v>0.2532</v>
      </c>
      <c r="J935" s="13">
        <f>J931/J929</f>
        <v>0.7</v>
      </c>
    </row>
    <row r="936">
      <c r="A936" s="48">
        <v>9.0</v>
      </c>
      <c r="B936" s="1">
        <v>2.0</v>
      </c>
      <c r="C936" s="1">
        <v>485.0</v>
      </c>
      <c r="D936" s="1">
        <v>2.0</v>
      </c>
      <c r="E936" s="1">
        <v>357.0</v>
      </c>
      <c r="F936" s="1">
        <v>3.0</v>
      </c>
      <c r="G936" s="51">
        <f t="shared" si="338"/>
        <v>0.485</v>
      </c>
      <c r="H936" s="52">
        <f t="shared" si="339"/>
        <v>0.4594</v>
      </c>
      <c r="I936" s="67">
        <f t="shared" si="340"/>
        <v>0.4722</v>
      </c>
      <c r="J936" s="86"/>
    </row>
    <row r="937">
      <c r="A937" s="48">
        <v>10.0</v>
      </c>
      <c r="B937" s="1">
        <v>2.0</v>
      </c>
      <c r="C937" s="1">
        <v>264.0</v>
      </c>
      <c r="D937" s="1">
        <v>3.0</v>
      </c>
      <c r="E937" s="1">
        <v>364.0</v>
      </c>
      <c r="F937" s="1">
        <v>20.0</v>
      </c>
      <c r="G937" s="51">
        <f t="shared" si="338"/>
        <v>0.3388</v>
      </c>
      <c r="H937" s="52">
        <f t="shared" si="339"/>
        <v>0.4088</v>
      </c>
      <c r="I937" s="67">
        <f t="shared" si="340"/>
        <v>0.3738</v>
      </c>
      <c r="J937" s="91"/>
    </row>
    <row r="938">
      <c r="A938" s="43" t="s">
        <v>33</v>
      </c>
      <c r="B938" s="92">
        <f>SUM(B928:B937)</f>
        <v>10</v>
      </c>
      <c r="C938" s="93">
        <f>AVERAGE(C928:C937)</f>
        <v>242.2</v>
      </c>
      <c r="D938" s="93">
        <f>SUM(D928:D937)</f>
        <v>7</v>
      </c>
      <c r="E938" s="93">
        <f t="shared" ref="E938:F938" si="341">AVERAGE(E928:E937)</f>
        <v>131.5</v>
      </c>
      <c r="F938" s="94">
        <f t="shared" si="341"/>
        <v>23</v>
      </c>
      <c r="G938" s="95">
        <f t="shared" ref="G938:H938" si="342">Average(G928:G937)</f>
        <v>0.26644</v>
      </c>
      <c r="H938" s="96">
        <f t="shared" si="342"/>
        <v>0.2293</v>
      </c>
      <c r="I938" s="97">
        <f t="shared" si="340"/>
        <v>0.24787</v>
      </c>
      <c r="J938" s="98"/>
    </row>
    <row r="940">
      <c r="A940" s="43"/>
      <c r="B940" s="43" t="s">
        <v>0</v>
      </c>
      <c r="C940" s="44" t="s">
        <v>180</v>
      </c>
      <c r="D940" s="43" t="s">
        <v>2</v>
      </c>
      <c r="E940" s="43" t="str">
        <f>"Game on " &amp; MATCH(MAX(I942:I951), I942:I951, 0) + ROW(I942) - 1 &amp; ". row"
</f>
        <v>Game on 944. row</v>
      </c>
      <c r="F940" s="43"/>
      <c r="G940" s="43"/>
      <c r="H940" s="43"/>
      <c r="I940" s="45"/>
    </row>
    <row r="941">
      <c r="A941" s="44" t="s">
        <v>181</v>
      </c>
      <c r="B941" s="46" t="s">
        <v>4</v>
      </c>
      <c r="C941" s="46" t="s">
        <v>5</v>
      </c>
      <c r="D941" s="46" t="s">
        <v>6</v>
      </c>
      <c r="E941" s="46" t="s">
        <v>7</v>
      </c>
      <c r="F941" s="46" t="s">
        <v>8</v>
      </c>
      <c r="G941" s="46"/>
      <c r="H941" s="46"/>
      <c r="I941" s="47"/>
      <c r="J941" s="46"/>
    </row>
    <row r="942">
      <c r="A942" s="48">
        <v>1.0</v>
      </c>
      <c r="B942" s="1">
        <v>0.0</v>
      </c>
      <c r="C942" s="1">
        <v>76.0</v>
      </c>
      <c r="D942" s="1">
        <v>0.0</v>
      </c>
      <c r="E942" s="1">
        <v>114.0</v>
      </c>
      <c r="F942" s="1">
        <v>9.0</v>
      </c>
      <c r="G942" s="51">
        <f t="shared" ref="G942:G951" si="343">(B942*0.5 + C942/100*0.2 + (51 - F942)/5*0.3)/10</f>
        <v>0.2672</v>
      </c>
      <c r="H942" s="52">
        <f t="shared" ref="H942:H951" si="344">(D942*0.5 + E942/100*0.2 + (51 - F942)/5*0.3)/10</f>
        <v>0.2748</v>
      </c>
      <c r="I942" s="67">
        <f t="shared" ref="I942:I952" si="345">AVERAGE(G942,H942)</f>
        <v>0.271</v>
      </c>
      <c r="J942" s="1" t="s">
        <v>15</v>
      </c>
    </row>
    <row r="943">
      <c r="A943" s="48">
        <v>2.0</v>
      </c>
      <c r="B943" s="1">
        <v>1.0</v>
      </c>
      <c r="C943" s="1">
        <v>165.0</v>
      </c>
      <c r="D943" s="1">
        <v>0.0</v>
      </c>
      <c r="E943" s="1">
        <v>193.0</v>
      </c>
      <c r="F943" s="1">
        <v>28.0</v>
      </c>
      <c r="G943" s="51">
        <f t="shared" si="343"/>
        <v>0.221</v>
      </c>
      <c r="H943" s="52">
        <f t="shared" si="344"/>
        <v>0.1766</v>
      </c>
      <c r="I943" s="67">
        <f t="shared" si="345"/>
        <v>0.1988</v>
      </c>
      <c r="J943" s="6">
        <f>B952/10</f>
        <v>2.8</v>
      </c>
    </row>
    <row r="944">
      <c r="A944" s="48">
        <v>3.0</v>
      </c>
      <c r="B944" s="1">
        <v>5.0</v>
      </c>
      <c r="C944" s="1">
        <v>788.0</v>
      </c>
      <c r="D944" s="1">
        <v>3.0</v>
      </c>
      <c r="E944" s="1">
        <v>363.0</v>
      </c>
      <c r="F944" s="1">
        <v>4.0</v>
      </c>
      <c r="G944" s="51">
        <f t="shared" si="343"/>
        <v>0.6896</v>
      </c>
      <c r="H944" s="52">
        <f t="shared" si="344"/>
        <v>0.5046</v>
      </c>
      <c r="I944" s="67">
        <f t="shared" si="345"/>
        <v>0.5971</v>
      </c>
      <c r="J944" s="1" t="s">
        <v>19</v>
      </c>
    </row>
    <row r="945">
      <c r="A945" s="48">
        <v>4.0</v>
      </c>
      <c r="B945" s="82">
        <v>5.0</v>
      </c>
      <c r="C945" s="42">
        <v>605.0</v>
      </c>
      <c r="D945" s="27">
        <v>0.0</v>
      </c>
      <c r="E945" s="27">
        <v>182.0</v>
      </c>
      <c r="F945" s="87">
        <v>3.0</v>
      </c>
      <c r="G945" s="51">
        <f t="shared" si="343"/>
        <v>0.659</v>
      </c>
      <c r="H945" s="52">
        <f t="shared" si="344"/>
        <v>0.3244</v>
      </c>
      <c r="I945" s="67">
        <f t="shared" si="345"/>
        <v>0.4917</v>
      </c>
      <c r="J945" s="6">
        <f>D952/10</f>
        <v>1.5</v>
      </c>
    </row>
    <row r="946">
      <c r="A946" s="48">
        <v>5.0</v>
      </c>
      <c r="B946" s="1">
        <v>4.0</v>
      </c>
      <c r="C946" s="1">
        <v>357.0</v>
      </c>
      <c r="D946" s="1">
        <v>1.0</v>
      </c>
      <c r="E946" s="1">
        <v>212.0</v>
      </c>
      <c r="F946" s="1">
        <v>6.0</v>
      </c>
      <c r="G946" s="51">
        <f t="shared" si="343"/>
        <v>0.5414</v>
      </c>
      <c r="H946" s="52">
        <f t="shared" si="344"/>
        <v>0.3624</v>
      </c>
      <c r="I946" s="67">
        <f t="shared" si="345"/>
        <v>0.4519</v>
      </c>
      <c r="J946" s="7" t="s">
        <v>23</v>
      </c>
    </row>
    <row r="947">
      <c r="A947" s="48">
        <v>6.0</v>
      </c>
      <c r="B947" s="1">
        <v>2.0</v>
      </c>
      <c r="C947" s="1">
        <v>343.0</v>
      </c>
      <c r="D947" s="1">
        <v>1.0</v>
      </c>
      <c r="E947" s="1">
        <v>173.0</v>
      </c>
      <c r="F947" s="1">
        <v>22.0</v>
      </c>
      <c r="G947" s="51">
        <f t="shared" si="343"/>
        <v>0.3426</v>
      </c>
      <c r="H947" s="52">
        <f t="shared" si="344"/>
        <v>0.2586</v>
      </c>
      <c r="I947" s="67">
        <f t="shared" si="345"/>
        <v>0.3006</v>
      </c>
      <c r="J947" s="8">
        <f>J943/J945</f>
        <v>1.866666667</v>
      </c>
    </row>
    <row r="948">
      <c r="A948" s="48">
        <v>7.0</v>
      </c>
      <c r="B948" s="1">
        <v>0.0</v>
      </c>
      <c r="C948" s="1">
        <v>63.0</v>
      </c>
      <c r="D948" s="1">
        <v>2.0</v>
      </c>
      <c r="E948" s="1">
        <v>125.0</v>
      </c>
      <c r="F948" s="1">
        <v>6.0</v>
      </c>
      <c r="G948" s="51">
        <f t="shared" si="343"/>
        <v>0.2826</v>
      </c>
      <c r="H948" s="52">
        <f t="shared" si="344"/>
        <v>0.395</v>
      </c>
      <c r="I948" s="67">
        <f t="shared" si="345"/>
        <v>0.3388</v>
      </c>
      <c r="J948" s="10" t="s">
        <v>27</v>
      </c>
    </row>
    <row r="949">
      <c r="A949" s="48">
        <v>8.0</v>
      </c>
      <c r="B949" s="1">
        <v>3.0</v>
      </c>
      <c r="C949" s="1">
        <v>575.0</v>
      </c>
      <c r="D949" s="1">
        <v>5.0</v>
      </c>
      <c r="E949" s="1">
        <v>373.0</v>
      </c>
      <c r="F949" s="1">
        <v>5.0</v>
      </c>
      <c r="G949" s="51">
        <f t="shared" si="343"/>
        <v>0.541</v>
      </c>
      <c r="H949" s="52">
        <f t="shared" si="344"/>
        <v>0.6006</v>
      </c>
      <c r="I949" s="67">
        <f t="shared" si="345"/>
        <v>0.5708</v>
      </c>
      <c r="J949" s="13">
        <f>J945/J943</f>
        <v>0.5357142857</v>
      </c>
    </row>
    <row r="950">
      <c r="A950" s="48">
        <v>9.0</v>
      </c>
      <c r="B950" s="1">
        <v>1.0</v>
      </c>
      <c r="C950" s="1">
        <v>228.0</v>
      </c>
      <c r="D950" s="1">
        <v>3.0</v>
      </c>
      <c r="E950" s="1">
        <v>175.0</v>
      </c>
      <c r="F950" s="1">
        <v>7.0</v>
      </c>
      <c r="G950" s="51">
        <f t="shared" si="343"/>
        <v>0.3596</v>
      </c>
      <c r="H950" s="52">
        <f t="shared" si="344"/>
        <v>0.449</v>
      </c>
      <c r="I950" s="67">
        <f t="shared" si="345"/>
        <v>0.4043</v>
      </c>
      <c r="J950" s="86"/>
    </row>
    <row r="951">
      <c r="A951" s="48">
        <v>10.0</v>
      </c>
      <c r="B951" s="1">
        <v>7.0</v>
      </c>
      <c r="C951" s="1">
        <v>587.0</v>
      </c>
      <c r="D951" s="1">
        <v>0.0</v>
      </c>
      <c r="E951" s="1">
        <v>107.0</v>
      </c>
      <c r="F951" s="1">
        <v>10.0</v>
      </c>
      <c r="G951" s="51">
        <f t="shared" si="343"/>
        <v>0.7134</v>
      </c>
      <c r="H951" s="52">
        <f t="shared" si="344"/>
        <v>0.2674</v>
      </c>
      <c r="I951" s="67">
        <f t="shared" si="345"/>
        <v>0.4904</v>
      </c>
      <c r="J951" s="91"/>
    </row>
    <row r="952">
      <c r="A952" s="43" t="s">
        <v>33</v>
      </c>
      <c r="B952" s="92">
        <f>SUM(B942:B951)</f>
        <v>28</v>
      </c>
      <c r="C952" s="93">
        <f>AVERAGE(C942:C951)</f>
        <v>378.7</v>
      </c>
      <c r="D952" s="93">
        <f>SUM(D942:D951)</f>
        <v>15</v>
      </c>
      <c r="E952" s="93">
        <f t="shared" ref="E952:F952" si="346">AVERAGE(E942:E951)</f>
        <v>201.7</v>
      </c>
      <c r="F952" s="94">
        <f t="shared" si="346"/>
        <v>10</v>
      </c>
      <c r="G952" s="95">
        <f t="shared" ref="G952:H952" si="347">Average(G942:G951)</f>
        <v>0.46174</v>
      </c>
      <c r="H952" s="96">
        <f t="shared" si="347"/>
        <v>0.36134</v>
      </c>
      <c r="I952" s="97">
        <f t="shared" si="345"/>
        <v>0.41154</v>
      </c>
      <c r="J952" s="98"/>
    </row>
    <row r="954">
      <c r="A954" s="43"/>
      <c r="B954" s="43" t="s">
        <v>0</v>
      </c>
      <c r="C954" s="44" t="s">
        <v>180</v>
      </c>
      <c r="D954" s="43" t="s">
        <v>2</v>
      </c>
      <c r="E954" s="43" t="str">
        <f>"Game on " &amp; MATCH(MAX(I956:I965), I956:I965, 0) + ROW(I956) - 1 &amp; ". row"
</f>
        <v>Game on 961. row</v>
      </c>
      <c r="F954" s="43"/>
      <c r="G954" s="43"/>
      <c r="H954" s="43"/>
      <c r="I954" s="45"/>
    </row>
    <row r="955">
      <c r="A955" s="44" t="s">
        <v>182</v>
      </c>
      <c r="B955" s="46" t="s">
        <v>4</v>
      </c>
      <c r="C955" s="46" t="s">
        <v>5</v>
      </c>
      <c r="D955" s="46" t="s">
        <v>6</v>
      </c>
      <c r="E955" s="46" t="s">
        <v>7</v>
      </c>
      <c r="F955" s="46" t="s">
        <v>8</v>
      </c>
      <c r="G955" s="46"/>
      <c r="H955" s="46"/>
      <c r="I955" s="47"/>
      <c r="J955" s="46"/>
    </row>
    <row r="956">
      <c r="A956" s="48">
        <v>1.0</v>
      </c>
      <c r="B956" s="1">
        <v>1.0</v>
      </c>
      <c r="C956" s="1">
        <v>119.0</v>
      </c>
      <c r="D956" s="1">
        <v>0.0</v>
      </c>
      <c r="E956" s="1">
        <v>100.0</v>
      </c>
      <c r="F956" s="1">
        <v>11.0</v>
      </c>
      <c r="G956" s="51">
        <f t="shared" ref="G956:G965" si="348">(B956*0.5 + C956/100*0.2 + (51 - F956)/5*0.3)/10</f>
        <v>0.3138</v>
      </c>
      <c r="H956" s="52">
        <f t="shared" ref="H956:H965" si="349">(D956*0.5 + E956/100*0.2 + (51 - F956)/5*0.3)/10</f>
        <v>0.26</v>
      </c>
      <c r="I956" s="67">
        <f t="shared" ref="I956:I966" si="350">AVERAGE(G956,H956)</f>
        <v>0.2869</v>
      </c>
      <c r="J956" s="1" t="s">
        <v>15</v>
      </c>
    </row>
    <row r="957">
      <c r="A957" s="48">
        <v>2.0</v>
      </c>
      <c r="B957" s="1">
        <v>0.0</v>
      </c>
      <c r="C957" s="1">
        <v>97.0</v>
      </c>
      <c r="D957" s="1">
        <v>0.0</v>
      </c>
      <c r="E957" s="1">
        <v>0.0</v>
      </c>
      <c r="F957" s="1">
        <v>24.0</v>
      </c>
      <c r="G957" s="51">
        <f t="shared" si="348"/>
        <v>0.1814</v>
      </c>
      <c r="H957" s="52">
        <f t="shared" si="349"/>
        <v>0.162</v>
      </c>
      <c r="I957" s="67">
        <f t="shared" si="350"/>
        <v>0.1717</v>
      </c>
      <c r="J957" s="6">
        <f>B966/10</f>
        <v>0.5</v>
      </c>
    </row>
    <row r="958">
      <c r="A958" s="48">
        <v>3.0</v>
      </c>
      <c r="B958" s="1">
        <v>1.0</v>
      </c>
      <c r="C958" s="1">
        <v>100.0</v>
      </c>
      <c r="D958" s="1">
        <v>0.0</v>
      </c>
      <c r="E958" s="1">
        <v>101.0</v>
      </c>
      <c r="F958" s="1">
        <v>28.0</v>
      </c>
      <c r="G958" s="51">
        <f t="shared" si="348"/>
        <v>0.208</v>
      </c>
      <c r="H958" s="52">
        <f t="shared" si="349"/>
        <v>0.1582</v>
      </c>
      <c r="I958" s="67">
        <f t="shared" si="350"/>
        <v>0.1831</v>
      </c>
      <c r="J958" s="1" t="s">
        <v>19</v>
      </c>
    </row>
    <row r="959">
      <c r="A959" s="48">
        <v>4.0</v>
      </c>
      <c r="B959" s="82">
        <v>0.0</v>
      </c>
      <c r="C959" s="42">
        <v>68.0</v>
      </c>
      <c r="D959" s="27">
        <v>2.0</v>
      </c>
      <c r="E959" s="27">
        <v>132.0</v>
      </c>
      <c r="F959" s="87">
        <v>17.0</v>
      </c>
      <c r="G959" s="51">
        <f t="shared" si="348"/>
        <v>0.2176</v>
      </c>
      <c r="H959" s="52">
        <f t="shared" si="349"/>
        <v>0.3304</v>
      </c>
      <c r="I959" s="67">
        <f t="shared" si="350"/>
        <v>0.274</v>
      </c>
      <c r="J959" s="6">
        <f>D966/10</f>
        <v>0.4</v>
      </c>
    </row>
    <row r="960">
      <c r="A960" s="48">
        <v>5.0</v>
      </c>
      <c r="B960" s="1">
        <v>0.0</v>
      </c>
      <c r="C960" s="1">
        <v>0.0</v>
      </c>
      <c r="D960" s="1">
        <v>0.0</v>
      </c>
      <c r="E960" s="1">
        <v>36.0</v>
      </c>
      <c r="F960" s="1">
        <v>43.0</v>
      </c>
      <c r="G960" s="51">
        <f t="shared" si="348"/>
        <v>0.048</v>
      </c>
      <c r="H960" s="52">
        <f t="shared" si="349"/>
        <v>0.0552</v>
      </c>
      <c r="I960" s="67">
        <f t="shared" si="350"/>
        <v>0.0516</v>
      </c>
      <c r="J960" s="7" t="s">
        <v>23</v>
      </c>
    </row>
    <row r="961">
      <c r="A961" s="48">
        <v>6.0</v>
      </c>
      <c r="B961" s="1">
        <v>3.0</v>
      </c>
      <c r="C961" s="1">
        <v>395.0</v>
      </c>
      <c r="D961" s="1">
        <v>1.0</v>
      </c>
      <c r="E961" s="1">
        <v>171.0</v>
      </c>
      <c r="F961" s="1">
        <v>7.0</v>
      </c>
      <c r="G961" s="51">
        <f t="shared" si="348"/>
        <v>0.493</v>
      </c>
      <c r="H961" s="52">
        <f t="shared" si="349"/>
        <v>0.3482</v>
      </c>
      <c r="I961" s="67">
        <f t="shared" si="350"/>
        <v>0.4206</v>
      </c>
      <c r="J961" s="8">
        <f>J957/J959</f>
        <v>1.25</v>
      </c>
    </row>
    <row r="962">
      <c r="A962" s="48">
        <v>7.0</v>
      </c>
      <c r="B962" s="1">
        <v>0.0</v>
      </c>
      <c r="C962" s="1">
        <v>230.0</v>
      </c>
      <c r="D962" s="1">
        <v>0.0</v>
      </c>
      <c r="E962" s="1">
        <v>120.0</v>
      </c>
      <c r="F962" s="1">
        <v>13.0</v>
      </c>
      <c r="G962" s="51">
        <f t="shared" si="348"/>
        <v>0.274</v>
      </c>
      <c r="H962" s="52">
        <f t="shared" si="349"/>
        <v>0.252</v>
      </c>
      <c r="I962" s="67">
        <f t="shared" si="350"/>
        <v>0.263</v>
      </c>
      <c r="J962" s="10" t="s">
        <v>27</v>
      </c>
    </row>
    <row r="963">
      <c r="A963" s="48">
        <v>8.0</v>
      </c>
      <c r="B963" s="1">
        <v>0.0</v>
      </c>
      <c r="C963" s="1">
        <v>48.0</v>
      </c>
      <c r="D963" s="1">
        <v>1.0</v>
      </c>
      <c r="E963" s="1">
        <v>121.0</v>
      </c>
      <c r="F963" s="1">
        <v>36.0</v>
      </c>
      <c r="G963" s="51">
        <f t="shared" si="348"/>
        <v>0.0996</v>
      </c>
      <c r="H963" s="52">
        <f t="shared" si="349"/>
        <v>0.1642</v>
      </c>
      <c r="I963" s="67">
        <f t="shared" si="350"/>
        <v>0.1319</v>
      </c>
      <c r="J963" s="13">
        <f>J959/J957</f>
        <v>0.8</v>
      </c>
    </row>
    <row r="964">
      <c r="A964" s="48">
        <v>9.0</v>
      </c>
      <c r="B964" s="1">
        <v>0.0</v>
      </c>
      <c r="C964" s="1">
        <v>33.0</v>
      </c>
      <c r="D964" s="1">
        <v>0.0</v>
      </c>
      <c r="E964" s="1">
        <v>34.0</v>
      </c>
      <c r="F964" s="1">
        <v>24.0</v>
      </c>
      <c r="G964" s="51">
        <f t="shared" si="348"/>
        <v>0.1686</v>
      </c>
      <c r="H964" s="52">
        <f t="shared" si="349"/>
        <v>0.1688</v>
      </c>
      <c r="I964" s="67">
        <f t="shared" si="350"/>
        <v>0.1687</v>
      </c>
      <c r="J964" s="86"/>
    </row>
    <row r="965">
      <c r="A965" s="48">
        <v>10.0</v>
      </c>
      <c r="B965" s="1">
        <v>0.0</v>
      </c>
      <c r="C965" s="1">
        <v>0.0</v>
      </c>
      <c r="D965" s="1">
        <v>0.0</v>
      </c>
      <c r="E965" s="1">
        <v>45.0</v>
      </c>
      <c r="F965" s="1">
        <v>35.0</v>
      </c>
      <c r="G965" s="51">
        <f t="shared" si="348"/>
        <v>0.096</v>
      </c>
      <c r="H965" s="52">
        <f t="shared" si="349"/>
        <v>0.105</v>
      </c>
      <c r="I965" s="67">
        <f t="shared" si="350"/>
        <v>0.1005</v>
      </c>
      <c r="J965" s="91"/>
    </row>
    <row r="966">
      <c r="A966" s="43" t="s">
        <v>33</v>
      </c>
      <c r="B966" s="92">
        <f>SUM(B956:B965)</f>
        <v>5</v>
      </c>
      <c r="C966" s="93">
        <f>AVERAGE(C956:C965)</f>
        <v>109</v>
      </c>
      <c r="D966" s="93">
        <f>SUM(D956:D965)</f>
        <v>4</v>
      </c>
      <c r="E966" s="93">
        <f t="shared" ref="E966:F966" si="351">AVERAGE(E956:E965)</f>
        <v>86</v>
      </c>
      <c r="F966" s="94">
        <f t="shared" si="351"/>
        <v>23.8</v>
      </c>
      <c r="G966" s="95">
        <f t="shared" ref="G966:H966" si="352">Average(G956:G965)</f>
        <v>0.21</v>
      </c>
      <c r="H966" s="96">
        <f t="shared" si="352"/>
        <v>0.2004</v>
      </c>
      <c r="I966" s="97">
        <f t="shared" si="350"/>
        <v>0.2052</v>
      </c>
      <c r="J966" s="98"/>
    </row>
    <row r="968">
      <c r="A968" s="43"/>
      <c r="B968" s="43" t="s">
        <v>0</v>
      </c>
      <c r="C968" s="44" t="s">
        <v>183</v>
      </c>
      <c r="D968" s="43" t="s">
        <v>2</v>
      </c>
      <c r="E968" s="43" t="str">
        <f>"Game on " &amp; MATCH(MAX(I970:I979), I970:I979, 0) + ROW(I970) - 1 &amp; ". row"
</f>
        <v>Game on 976. row</v>
      </c>
      <c r="F968" s="43"/>
      <c r="G968" s="43"/>
      <c r="H968" s="43"/>
      <c r="I968" s="45"/>
    </row>
    <row r="969">
      <c r="A969" s="44" t="s">
        <v>184</v>
      </c>
      <c r="B969" s="46" t="s">
        <v>4</v>
      </c>
      <c r="C969" s="46" t="s">
        <v>5</v>
      </c>
      <c r="D969" s="46" t="s">
        <v>6</v>
      </c>
      <c r="E969" s="46" t="s">
        <v>7</v>
      </c>
      <c r="F969" s="46" t="s">
        <v>8</v>
      </c>
      <c r="G969" s="46"/>
      <c r="H969" s="46"/>
      <c r="I969" s="47"/>
      <c r="J969" s="46"/>
    </row>
    <row r="970">
      <c r="A970" s="48">
        <v>1.0</v>
      </c>
      <c r="B970" s="1">
        <v>0.0</v>
      </c>
      <c r="C970" s="1">
        <v>59.0</v>
      </c>
      <c r="D970" s="1">
        <v>0.0</v>
      </c>
      <c r="E970" s="1">
        <v>0.0</v>
      </c>
      <c r="F970" s="1">
        <v>33.0</v>
      </c>
      <c r="G970" s="51">
        <f t="shared" ref="G970:G979" si="353">(B970*0.5 + C970/100*0.2 + (51 - F970)/5*0.3)/10</f>
        <v>0.1198</v>
      </c>
      <c r="H970" s="52">
        <f t="shared" ref="H970:H979" si="354">(D970*0.5 + E970/100*0.2 + (51 - F970)/5*0.3)/10</f>
        <v>0.108</v>
      </c>
      <c r="I970" s="67">
        <f t="shared" ref="I970:I980" si="355">AVERAGE(G970,H970)</f>
        <v>0.1139</v>
      </c>
      <c r="J970" s="1" t="s">
        <v>15</v>
      </c>
    </row>
    <row r="971">
      <c r="A971" s="48">
        <v>2.0</v>
      </c>
      <c r="B971" s="1">
        <v>0.0</v>
      </c>
      <c r="C971" s="1">
        <v>197.0</v>
      </c>
      <c r="D971" s="1">
        <v>0.0</v>
      </c>
      <c r="E971" s="1">
        <v>26.0</v>
      </c>
      <c r="F971" s="1">
        <v>37.0</v>
      </c>
      <c r="G971" s="51">
        <f t="shared" si="353"/>
        <v>0.1234</v>
      </c>
      <c r="H971" s="52">
        <f t="shared" si="354"/>
        <v>0.0892</v>
      </c>
      <c r="I971" s="67">
        <f t="shared" si="355"/>
        <v>0.1063</v>
      </c>
      <c r="J971" s="6">
        <f>B980/10</f>
        <v>1.4</v>
      </c>
    </row>
    <row r="972">
      <c r="A972" s="48">
        <v>3.0</v>
      </c>
      <c r="B972" s="1">
        <v>1.0</v>
      </c>
      <c r="C972" s="1">
        <v>302.0</v>
      </c>
      <c r="D972" s="1">
        <v>0.0</v>
      </c>
      <c r="E972" s="1">
        <v>154.0</v>
      </c>
      <c r="F972" s="1">
        <v>17.0</v>
      </c>
      <c r="G972" s="51">
        <f t="shared" si="353"/>
        <v>0.3144</v>
      </c>
      <c r="H972" s="52">
        <f t="shared" si="354"/>
        <v>0.2348</v>
      </c>
      <c r="I972" s="67">
        <f t="shared" si="355"/>
        <v>0.2746</v>
      </c>
      <c r="J972" s="1" t="s">
        <v>19</v>
      </c>
    </row>
    <row r="973">
      <c r="A973" s="48">
        <v>4.0</v>
      </c>
      <c r="B973" s="82">
        <v>2.0</v>
      </c>
      <c r="C973" s="42">
        <v>204.0</v>
      </c>
      <c r="D973" s="27">
        <v>0.0</v>
      </c>
      <c r="E973" s="27">
        <v>159.0</v>
      </c>
      <c r="F973" s="87">
        <v>33.0</v>
      </c>
      <c r="G973" s="51">
        <f t="shared" si="353"/>
        <v>0.2488</v>
      </c>
      <c r="H973" s="52">
        <f t="shared" si="354"/>
        <v>0.1398</v>
      </c>
      <c r="I973" s="67">
        <f t="shared" si="355"/>
        <v>0.1943</v>
      </c>
      <c r="J973" s="6">
        <f>D980/10</f>
        <v>0.1</v>
      </c>
    </row>
    <row r="974">
      <c r="A974" s="48">
        <v>5.0</v>
      </c>
      <c r="B974" s="1">
        <v>4.0</v>
      </c>
      <c r="C974" s="1">
        <v>359.0</v>
      </c>
      <c r="D974" s="1">
        <v>0.0</v>
      </c>
      <c r="E974" s="1">
        <v>84.0</v>
      </c>
      <c r="F974" s="1">
        <v>15.0</v>
      </c>
      <c r="G974" s="51">
        <f t="shared" si="353"/>
        <v>0.4878</v>
      </c>
      <c r="H974" s="52">
        <f t="shared" si="354"/>
        <v>0.2328</v>
      </c>
      <c r="I974" s="67">
        <f t="shared" si="355"/>
        <v>0.3603</v>
      </c>
      <c r="J974" s="7" t="s">
        <v>23</v>
      </c>
    </row>
    <row r="975">
      <c r="A975" s="48">
        <v>6.0</v>
      </c>
      <c r="B975" s="1">
        <v>0.0</v>
      </c>
      <c r="C975" s="1">
        <v>89.0</v>
      </c>
      <c r="D975" s="1">
        <v>0.0</v>
      </c>
      <c r="E975" s="1">
        <v>100.0</v>
      </c>
      <c r="F975" s="1">
        <v>18.0</v>
      </c>
      <c r="G975" s="51">
        <f t="shared" si="353"/>
        <v>0.2158</v>
      </c>
      <c r="H975" s="52">
        <f t="shared" si="354"/>
        <v>0.218</v>
      </c>
      <c r="I975" s="67">
        <f t="shared" si="355"/>
        <v>0.2169</v>
      </c>
      <c r="J975" s="8">
        <f>J971/J973</f>
        <v>14</v>
      </c>
    </row>
    <row r="976">
      <c r="A976" s="48">
        <v>7.0</v>
      </c>
      <c r="B976" s="1">
        <v>3.0</v>
      </c>
      <c r="C976" s="1">
        <v>612.0</v>
      </c>
      <c r="D976" s="1">
        <v>1.0</v>
      </c>
      <c r="E976" s="1">
        <v>193.0</v>
      </c>
      <c r="F976" s="1">
        <v>2.0</v>
      </c>
      <c r="G976" s="51">
        <f t="shared" si="353"/>
        <v>0.5664</v>
      </c>
      <c r="H976" s="52">
        <f t="shared" si="354"/>
        <v>0.3826</v>
      </c>
      <c r="I976" s="67">
        <f t="shared" si="355"/>
        <v>0.4745</v>
      </c>
      <c r="J976" s="10" t="s">
        <v>27</v>
      </c>
    </row>
    <row r="977">
      <c r="A977" s="48">
        <v>8.0</v>
      </c>
      <c r="B977" s="1">
        <v>0.0</v>
      </c>
      <c r="C977" s="1">
        <v>0.0</v>
      </c>
      <c r="D977" s="1">
        <v>0.0</v>
      </c>
      <c r="E977" s="1">
        <v>0.0</v>
      </c>
      <c r="F977" s="1">
        <v>33.0</v>
      </c>
      <c r="G977" s="51">
        <f t="shared" si="353"/>
        <v>0.108</v>
      </c>
      <c r="H977" s="52">
        <f t="shared" si="354"/>
        <v>0.108</v>
      </c>
      <c r="I977" s="67">
        <f t="shared" si="355"/>
        <v>0.108</v>
      </c>
      <c r="J977" s="13">
        <f>J973/J971</f>
        <v>0.07142857143</v>
      </c>
    </row>
    <row r="978">
      <c r="A978" s="48">
        <v>9.0</v>
      </c>
      <c r="B978" s="1">
        <v>0.0</v>
      </c>
      <c r="C978" s="1">
        <v>0.0</v>
      </c>
      <c r="D978" s="1">
        <v>0.0</v>
      </c>
      <c r="E978" s="1">
        <v>46.0</v>
      </c>
      <c r="F978" s="1"/>
      <c r="G978" s="51">
        <f t="shared" si="353"/>
        <v>0.306</v>
      </c>
      <c r="H978" s="52">
        <f t="shared" si="354"/>
        <v>0.3152</v>
      </c>
      <c r="I978" s="67">
        <f t="shared" si="355"/>
        <v>0.3106</v>
      </c>
      <c r="J978" s="86"/>
    </row>
    <row r="979">
      <c r="A979" s="48">
        <v>10.0</v>
      </c>
      <c r="B979" s="1">
        <v>4.0</v>
      </c>
      <c r="C979" s="1">
        <v>394.0</v>
      </c>
      <c r="D979" s="1">
        <v>0.0</v>
      </c>
      <c r="E979" s="1">
        <v>42.0</v>
      </c>
      <c r="F979" s="1">
        <v>5.0</v>
      </c>
      <c r="G979" s="51">
        <f t="shared" si="353"/>
        <v>0.5548</v>
      </c>
      <c r="H979" s="52">
        <f t="shared" si="354"/>
        <v>0.2844</v>
      </c>
      <c r="I979" s="67">
        <f t="shared" si="355"/>
        <v>0.4196</v>
      </c>
      <c r="J979" s="91"/>
    </row>
    <row r="980">
      <c r="A980" s="43" t="s">
        <v>33</v>
      </c>
      <c r="B980" s="92">
        <f>SUM(B970:B979)</f>
        <v>14</v>
      </c>
      <c r="C980" s="93">
        <f>AVERAGE(C970:C979)</f>
        <v>221.6</v>
      </c>
      <c r="D980" s="93">
        <f>SUM(D970:D979)</f>
        <v>1</v>
      </c>
      <c r="E980" s="93">
        <f t="shared" ref="E980:F980" si="356">AVERAGE(E970:E979)</f>
        <v>80.4</v>
      </c>
      <c r="F980" s="94">
        <f t="shared" si="356"/>
        <v>21.44444444</v>
      </c>
      <c r="G980" s="95">
        <f t="shared" ref="G980:H980" si="357">Average(G970:G979)</f>
        <v>0.30452</v>
      </c>
      <c r="H980" s="96">
        <f t="shared" si="357"/>
        <v>0.21128</v>
      </c>
      <c r="I980" s="97">
        <f t="shared" si="355"/>
        <v>0.2579</v>
      </c>
      <c r="J980" s="98"/>
    </row>
    <row r="982">
      <c r="A982" s="43"/>
      <c r="B982" s="43" t="s">
        <v>0</v>
      </c>
      <c r="C982" s="44" t="s">
        <v>185</v>
      </c>
      <c r="D982" s="43" t="s">
        <v>2</v>
      </c>
      <c r="E982" s="43" t="str">
        <f>"Game on " &amp; MATCH(MAX(I984:I993), I984:I993, 0) + ROW(I984) - 1 &amp; ". row"
</f>
        <v>Game on 985. row</v>
      </c>
      <c r="F982" s="43"/>
      <c r="G982" s="43"/>
      <c r="H982" s="43"/>
      <c r="I982" s="45"/>
      <c r="J982" s="43"/>
    </row>
    <row r="983">
      <c r="A983" s="44" t="s">
        <v>186</v>
      </c>
      <c r="B983" s="46" t="s">
        <v>4</v>
      </c>
      <c r="C983" s="46" t="s">
        <v>5</v>
      </c>
      <c r="D983" s="46" t="s">
        <v>6</v>
      </c>
      <c r="E983" s="46" t="s">
        <v>7</v>
      </c>
      <c r="F983" s="46" t="s">
        <v>8</v>
      </c>
      <c r="G983" s="46"/>
      <c r="H983" s="46"/>
      <c r="I983" s="47"/>
      <c r="J983" s="46"/>
    </row>
    <row r="984">
      <c r="A984" s="48">
        <v>1.0</v>
      </c>
      <c r="B984" s="1">
        <v>2.0</v>
      </c>
      <c r="C984" s="1">
        <v>127.0</v>
      </c>
      <c r="D984" s="1">
        <v>0.0</v>
      </c>
      <c r="E984" s="1">
        <v>30.0</v>
      </c>
      <c r="F984" s="1">
        <v>8.0</v>
      </c>
      <c r="G984" s="51">
        <f t="shared" ref="G984:G993" si="358">(B984*0.5 + C984/100*0.2 + (51 - F984)/5*0.3)/10</f>
        <v>0.3834</v>
      </c>
      <c r="H984" s="52">
        <f t="shared" ref="H984:H993" si="359">(D984*0.5 + E984/100*0.2 + (51 - F984)/5*0.3)/10</f>
        <v>0.264</v>
      </c>
      <c r="I984" s="67">
        <f t="shared" ref="I984:I994" si="360">AVERAGE(G984,H984)</f>
        <v>0.3237</v>
      </c>
      <c r="J984" s="99" t="s">
        <v>15</v>
      </c>
    </row>
    <row r="985">
      <c r="A985" s="48">
        <v>2.0</v>
      </c>
      <c r="B985" s="1">
        <v>3.0</v>
      </c>
      <c r="C985" s="1">
        <v>362.0</v>
      </c>
      <c r="D985" s="1">
        <v>2.0</v>
      </c>
      <c r="E985" s="1">
        <v>176.0</v>
      </c>
      <c r="F985" s="1">
        <v>11.0</v>
      </c>
      <c r="G985" s="51">
        <f t="shared" si="358"/>
        <v>0.4624</v>
      </c>
      <c r="H985" s="52">
        <f t="shared" si="359"/>
        <v>0.3752</v>
      </c>
      <c r="I985" s="67">
        <f t="shared" si="360"/>
        <v>0.4188</v>
      </c>
      <c r="J985" s="100">
        <f>B994/10</f>
        <v>0.7</v>
      </c>
    </row>
    <row r="986">
      <c r="A986" s="48">
        <v>3.0</v>
      </c>
      <c r="B986" s="1">
        <v>0.0</v>
      </c>
      <c r="C986" s="1">
        <v>242.0</v>
      </c>
      <c r="D986" s="1">
        <v>0.0</v>
      </c>
      <c r="E986" s="1">
        <v>230.0</v>
      </c>
      <c r="F986" s="1">
        <v>15.0</v>
      </c>
      <c r="G986" s="51">
        <f t="shared" si="358"/>
        <v>0.2644</v>
      </c>
      <c r="H986" s="52">
        <f t="shared" si="359"/>
        <v>0.262</v>
      </c>
      <c r="I986" s="67">
        <f t="shared" si="360"/>
        <v>0.2632</v>
      </c>
      <c r="J986" s="99" t="s">
        <v>19</v>
      </c>
    </row>
    <row r="987">
      <c r="A987" s="48">
        <v>4.0</v>
      </c>
      <c r="B987" s="82">
        <v>0.0</v>
      </c>
      <c r="C987" s="42">
        <v>353.0</v>
      </c>
      <c r="D987" s="27">
        <v>1.0</v>
      </c>
      <c r="E987" s="27">
        <v>64.0</v>
      </c>
      <c r="F987" s="87">
        <v>17.0</v>
      </c>
      <c r="G987" s="51">
        <f t="shared" si="358"/>
        <v>0.2746</v>
      </c>
      <c r="H987" s="52">
        <f t="shared" si="359"/>
        <v>0.2668</v>
      </c>
      <c r="I987" s="67">
        <f t="shared" si="360"/>
        <v>0.2707</v>
      </c>
      <c r="J987" s="100">
        <f>D994/10</f>
        <v>0.6</v>
      </c>
    </row>
    <row r="988">
      <c r="A988" s="48">
        <v>5.0</v>
      </c>
      <c r="B988" s="1">
        <v>1.0</v>
      </c>
      <c r="C988" s="1">
        <v>100.0</v>
      </c>
      <c r="D988" s="1">
        <v>0.0</v>
      </c>
      <c r="E988" s="1">
        <v>0.0</v>
      </c>
      <c r="F988" s="1">
        <v>34.0</v>
      </c>
      <c r="G988" s="51">
        <f t="shared" si="358"/>
        <v>0.172</v>
      </c>
      <c r="H988" s="52">
        <f t="shared" si="359"/>
        <v>0.102</v>
      </c>
      <c r="I988" s="67">
        <f t="shared" si="360"/>
        <v>0.137</v>
      </c>
      <c r="J988" s="99" t="s">
        <v>23</v>
      </c>
    </row>
    <row r="989">
      <c r="A989" s="48">
        <v>6.0</v>
      </c>
      <c r="B989" s="1">
        <v>0.0</v>
      </c>
      <c r="C989" s="1">
        <v>0.0</v>
      </c>
      <c r="D989" s="1">
        <v>0.0</v>
      </c>
      <c r="E989" s="1">
        <v>0.0</v>
      </c>
      <c r="F989" s="1">
        <v>22.0</v>
      </c>
      <c r="G989" s="51">
        <f t="shared" si="358"/>
        <v>0.174</v>
      </c>
      <c r="H989" s="52">
        <f t="shared" si="359"/>
        <v>0.174</v>
      </c>
      <c r="I989" s="67">
        <f t="shared" si="360"/>
        <v>0.174</v>
      </c>
      <c r="J989" s="101">
        <f>J985/J987</f>
        <v>1.166666667</v>
      </c>
    </row>
    <row r="990">
      <c r="A990" s="48">
        <v>7.0</v>
      </c>
      <c r="B990" s="1">
        <v>1.0</v>
      </c>
      <c r="C990" s="1">
        <v>388.0</v>
      </c>
      <c r="D990" s="1">
        <v>2.0</v>
      </c>
      <c r="E990" s="1">
        <v>146.0</v>
      </c>
      <c r="F990" s="1">
        <v>12.0</v>
      </c>
      <c r="G990" s="51">
        <f t="shared" si="358"/>
        <v>0.3616</v>
      </c>
      <c r="H990" s="52">
        <f t="shared" si="359"/>
        <v>0.3632</v>
      </c>
      <c r="I990" s="67">
        <f t="shared" si="360"/>
        <v>0.3624</v>
      </c>
      <c r="J990" s="99" t="s">
        <v>27</v>
      </c>
    </row>
    <row r="991">
      <c r="A991" s="48">
        <v>8.0</v>
      </c>
      <c r="B991" s="1">
        <v>0.0</v>
      </c>
      <c r="C991" s="1">
        <v>100.0</v>
      </c>
      <c r="D991" s="1">
        <v>0.0</v>
      </c>
      <c r="E991" s="1">
        <v>24.0</v>
      </c>
      <c r="F991" s="1">
        <v>41.0</v>
      </c>
      <c r="G991" s="51">
        <f t="shared" si="358"/>
        <v>0.08</v>
      </c>
      <c r="H991" s="52">
        <f t="shared" si="359"/>
        <v>0.0648</v>
      </c>
      <c r="I991" s="67">
        <f t="shared" si="360"/>
        <v>0.0724</v>
      </c>
      <c r="J991" s="101">
        <f>J987/J985</f>
        <v>0.8571428571</v>
      </c>
    </row>
    <row r="992">
      <c r="A992" s="48">
        <v>9.0</v>
      </c>
      <c r="B992" s="1">
        <v>0.0</v>
      </c>
      <c r="C992" s="1">
        <v>0.0</v>
      </c>
      <c r="D992" s="1">
        <v>1.0</v>
      </c>
      <c r="E992" s="1">
        <v>234.0</v>
      </c>
      <c r="F992" s="1">
        <v>8.0</v>
      </c>
      <c r="G992" s="51">
        <f t="shared" si="358"/>
        <v>0.258</v>
      </c>
      <c r="H992" s="52">
        <f t="shared" si="359"/>
        <v>0.3548</v>
      </c>
      <c r="I992" s="67">
        <f t="shared" si="360"/>
        <v>0.3064</v>
      </c>
      <c r="J992" s="99"/>
    </row>
    <row r="993">
      <c r="A993" s="48">
        <v>10.0</v>
      </c>
      <c r="B993" s="1">
        <v>0.0</v>
      </c>
      <c r="C993" s="1">
        <v>152.0</v>
      </c>
      <c r="D993" s="1">
        <v>0.0</v>
      </c>
      <c r="E993" s="1">
        <v>55.0</v>
      </c>
      <c r="F993" s="1">
        <v>16.0</v>
      </c>
      <c r="G993" s="51">
        <f t="shared" si="358"/>
        <v>0.2404</v>
      </c>
      <c r="H993" s="52">
        <f t="shared" si="359"/>
        <v>0.221</v>
      </c>
      <c r="I993" s="67">
        <f t="shared" si="360"/>
        <v>0.2307</v>
      </c>
      <c r="J993" s="46"/>
    </row>
    <row r="994">
      <c r="A994" s="43" t="s">
        <v>33</v>
      </c>
      <c r="B994" s="92">
        <f>SUM(B984:B993)</f>
        <v>7</v>
      </c>
      <c r="C994" s="93">
        <f>AVERAGE(C984:C993)</f>
        <v>182.4</v>
      </c>
      <c r="D994" s="93">
        <f>SUM(D984:D993)</f>
        <v>6</v>
      </c>
      <c r="E994" s="93">
        <f t="shared" ref="E994:F994" si="361">AVERAGE(E984:E993)</f>
        <v>95.9</v>
      </c>
      <c r="F994" s="94">
        <f t="shared" si="361"/>
        <v>18.4</v>
      </c>
      <c r="G994" s="95">
        <f t="shared" ref="G994:H994" si="362">Average(G984:G993)</f>
        <v>0.26708</v>
      </c>
      <c r="H994" s="96">
        <f t="shared" si="362"/>
        <v>0.24478</v>
      </c>
      <c r="I994" s="97">
        <f t="shared" si="360"/>
        <v>0.25593</v>
      </c>
      <c r="J994" s="99"/>
    </row>
    <row r="996">
      <c r="A996" s="43"/>
      <c r="B996" s="43" t="s">
        <v>0</v>
      </c>
      <c r="C996" s="44" t="s">
        <v>187</v>
      </c>
      <c r="D996" s="43" t="s">
        <v>2</v>
      </c>
      <c r="E996" s="43" t="str">
        <f>"Game on " &amp; MATCH(MAX(I998:I1007), I998:I1007, 0) + ROW(I998) - 1 &amp; ". row"
</f>
        <v>Game on 1002. row</v>
      </c>
      <c r="F996" s="43"/>
      <c r="G996" s="43"/>
      <c r="H996" s="43"/>
      <c r="I996" s="45"/>
      <c r="J996" s="43"/>
    </row>
    <row r="997">
      <c r="A997" s="44" t="s">
        <v>188</v>
      </c>
      <c r="B997" s="46" t="s">
        <v>4</v>
      </c>
      <c r="C997" s="46" t="s">
        <v>5</v>
      </c>
      <c r="D997" s="46" t="s">
        <v>6</v>
      </c>
      <c r="E997" s="46" t="s">
        <v>7</v>
      </c>
      <c r="F997" s="46" t="s">
        <v>8</v>
      </c>
      <c r="G997" s="46"/>
      <c r="H997" s="46"/>
      <c r="I997" s="47"/>
      <c r="J997" s="46"/>
    </row>
    <row r="998">
      <c r="A998" s="48">
        <v>1.0</v>
      </c>
      <c r="B998" s="1">
        <v>4.0</v>
      </c>
      <c r="C998" s="1">
        <v>448.0</v>
      </c>
      <c r="D998" s="1">
        <v>1.0</v>
      </c>
      <c r="E998" s="1">
        <v>182.0</v>
      </c>
      <c r="F998" s="1">
        <v>4.0</v>
      </c>
      <c r="G998" s="51">
        <f t="shared" ref="G998:G1007" si="363">(B998*0.5 + C998/100*0.2 + (51 - F998)/5*0.3)/10</f>
        <v>0.5716</v>
      </c>
      <c r="H998" s="52">
        <f t="shared" ref="H998:H1007" si="364">(D998*0.5 + E998/100*0.2 + (51 - F998)/5*0.3)/10</f>
        <v>0.3684</v>
      </c>
      <c r="I998" s="67">
        <f t="shared" ref="I998:I1008" si="365">AVERAGE(G998,H998)</f>
        <v>0.47</v>
      </c>
      <c r="J998" s="99" t="s">
        <v>15</v>
      </c>
    </row>
    <row r="999">
      <c r="A999" s="48">
        <v>2.0</v>
      </c>
      <c r="B999" s="1">
        <v>3.0</v>
      </c>
      <c r="C999" s="1">
        <v>398.0</v>
      </c>
      <c r="D999" s="1">
        <v>1.0</v>
      </c>
      <c r="E999" s="1">
        <v>527.0</v>
      </c>
      <c r="F999" s="1">
        <v>3.0</v>
      </c>
      <c r="G999" s="51">
        <f t="shared" si="363"/>
        <v>0.5176</v>
      </c>
      <c r="H999" s="52">
        <f t="shared" si="364"/>
        <v>0.4434</v>
      </c>
      <c r="I999" s="67">
        <f t="shared" si="365"/>
        <v>0.4805</v>
      </c>
      <c r="J999" s="100">
        <f>B1008/10</f>
        <v>2</v>
      </c>
    </row>
    <row r="1000">
      <c r="A1000" s="48">
        <v>3.0</v>
      </c>
      <c r="B1000" s="1">
        <v>3.0</v>
      </c>
      <c r="C1000" s="1">
        <v>338.0</v>
      </c>
      <c r="D1000" s="1">
        <v>0.0</v>
      </c>
      <c r="E1000" s="1">
        <v>154.0</v>
      </c>
      <c r="F1000" s="1">
        <v>2.0</v>
      </c>
      <c r="G1000" s="51">
        <f t="shared" si="363"/>
        <v>0.5116</v>
      </c>
      <c r="H1000" s="52">
        <f t="shared" si="364"/>
        <v>0.3248</v>
      </c>
      <c r="I1000" s="67">
        <f t="shared" si="365"/>
        <v>0.4182</v>
      </c>
      <c r="J1000" s="99" t="s">
        <v>19</v>
      </c>
    </row>
    <row r="1001">
      <c r="A1001" s="48">
        <v>4.0</v>
      </c>
      <c r="B1001" s="82">
        <v>1.0</v>
      </c>
      <c r="C1001" s="42">
        <v>293.0</v>
      </c>
      <c r="D1001" s="27">
        <v>1.0</v>
      </c>
      <c r="E1001" s="27">
        <v>354.0</v>
      </c>
      <c r="F1001" s="87">
        <v>5.0</v>
      </c>
      <c r="G1001" s="51">
        <f t="shared" si="363"/>
        <v>0.3846</v>
      </c>
      <c r="H1001" s="52">
        <f t="shared" si="364"/>
        <v>0.3968</v>
      </c>
      <c r="I1001" s="67">
        <f t="shared" si="365"/>
        <v>0.3907</v>
      </c>
      <c r="J1001" s="100">
        <f>D1008/10</f>
        <v>0.7</v>
      </c>
    </row>
    <row r="1002">
      <c r="A1002" s="48">
        <v>5.0</v>
      </c>
      <c r="B1002" s="1">
        <v>5.0</v>
      </c>
      <c r="C1002" s="1">
        <v>535.0</v>
      </c>
      <c r="D1002" s="1">
        <v>1.0</v>
      </c>
      <c r="E1002" s="1">
        <v>72.0</v>
      </c>
      <c r="F1002" s="1">
        <v>5.0</v>
      </c>
      <c r="G1002" s="51">
        <f t="shared" si="363"/>
        <v>0.633</v>
      </c>
      <c r="H1002" s="52">
        <f t="shared" si="364"/>
        <v>0.3404</v>
      </c>
      <c r="I1002" s="67">
        <f t="shared" si="365"/>
        <v>0.4867</v>
      </c>
      <c r="J1002" s="99" t="s">
        <v>23</v>
      </c>
    </row>
    <row r="1003">
      <c r="A1003" s="48">
        <v>6.0</v>
      </c>
      <c r="B1003" s="1">
        <v>2.0</v>
      </c>
      <c r="C1003" s="1">
        <v>180.0</v>
      </c>
      <c r="D1003" s="1">
        <v>1.0</v>
      </c>
      <c r="E1003" s="1">
        <v>98.0</v>
      </c>
      <c r="F1003" s="1">
        <v>11.0</v>
      </c>
      <c r="G1003" s="51">
        <f t="shared" si="363"/>
        <v>0.376</v>
      </c>
      <c r="H1003" s="52">
        <f t="shared" si="364"/>
        <v>0.3096</v>
      </c>
      <c r="I1003" s="67">
        <f t="shared" si="365"/>
        <v>0.3428</v>
      </c>
      <c r="J1003" s="101">
        <f>J999/J1001</f>
        <v>2.857142857</v>
      </c>
    </row>
    <row r="1004">
      <c r="A1004" s="48">
        <v>7.0</v>
      </c>
      <c r="B1004" s="1">
        <v>1.0</v>
      </c>
      <c r="C1004" s="1">
        <v>87.0</v>
      </c>
      <c r="D1004" s="1">
        <v>0.0</v>
      </c>
      <c r="E1004" s="1">
        <v>26.0</v>
      </c>
      <c r="F1004" s="1">
        <v>35.0</v>
      </c>
      <c r="G1004" s="51">
        <f t="shared" si="363"/>
        <v>0.1634</v>
      </c>
      <c r="H1004" s="52">
        <f t="shared" si="364"/>
        <v>0.1012</v>
      </c>
      <c r="I1004" s="67">
        <f t="shared" si="365"/>
        <v>0.1323</v>
      </c>
      <c r="J1004" s="99" t="s">
        <v>27</v>
      </c>
    </row>
    <row r="1005">
      <c r="A1005" s="48">
        <v>8.0</v>
      </c>
      <c r="B1005" s="1">
        <v>0.0</v>
      </c>
      <c r="C1005" s="1">
        <v>100.0</v>
      </c>
      <c r="D1005" s="1">
        <v>1.0</v>
      </c>
      <c r="E1005" s="1">
        <v>265.0</v>
      </c>
      <c r="F1005" s="1">
        <v>29.0</v>
      </c>
      <c r="G1005" s="51">
        <f t="shared" si="363"/>
        <v>0.152</v>
      </c>
      <c r="H1005" s="52">
        <f t="shared" si="364"/>
        <v>0.235</v>
      </c>
      <c r="I1005" s="67">
        <f t="shared" si="365"/>
        <v>0.1935</v>
      </c>
      <c r="J1005" s="101">
        <f>J1001/J999</f>
        <v>0.35</v>
      </c>
    </row>
    <row r="1006">
      <c r="A1006" s="48">
        <v>9.0</v>
      </c>
      <c r="B1006" s="1">
        <v>1.0</v>
      </c>
      <c r="C1006" s="1">
        <v>273.0</v>
      </c>
      <c r="D1006" s="1">
        <v>1.0</v>
      </c>
      <c r="E1006" s="1">
        <v>286.0</v>
      </c>
      <c r="F1006" s="1">
        <v>14.0</v>
      </c>
      <c r="G1006" s="51">
        <f t="shared" si="363"/>
        <v>0.3266</v>
      </c>
      <c r="H1006" s="52">
        <f t="shared" si="364"/>
        <v>0.3292</v>
      </c>
      <c r="I1006" s="67">
        <f t="shared" si="365"/>
        <v>0.3279</v>
      </c>
      <c r="J1006" s="99"/>
    </row>
    <row r="1007">
      <c r="A1007" s="48">
        <v>10.0</v>
      </c>
      <c r="B1007" s="1">
        <v>0.0</v>
      </c>
      <c r="C1007" s="1">
        <v>100.0</v>
      </c>
      <c r="D1007" s="1">
        <v>0.0</v>
      </c>
      <c r="E1007" s="1">
        <v>52.0</v>
      </c>
      <c r="F1007" s="1">
        <v>18.0</v>
      </c>
      <c r="G1007" s="51">
        <f t="shared" si="363"/>
        <v>0.218</v>
      </c>
      <c r="H1007" s="52">
        <f t="shared" si="364"/>
        <v>0.2084</v>
      </c>
      <c r="I1007" s="67">
        <f t="shared" si="365"/>
        <v>0.2132</v>
      </c>
      <c r="J1007" s="46"/>
    </row>
    <row r="1008">
      <c r="A1008" s="43" t="s">
        <v>33</v>
      </c>
      <c r="B1008" s="92">
        <f>SUM(B998:B1007)</f>
        <v>20</v>
      </c>
      <c r="C1008" s="93">
        <f>AVERAGE(C998:C1007)</f>
        <v>275.2</v>
      </c>
      <c r="D1008" s="93">
        <f>SUM(D998:D1007)</f>
        <v>7</v>
      </c>
      <c r="E1008" s="93">
        <f t="shared" ref="E1008:F1008" si="366">AVERAGE(E998:E1007)</f>
        <v>201.6</v>
      </c>
      <c r="F1008" s="94">
        <f t="shared" si="366"/>
        <v>12.6</v>
      </c>
      <c r="G1008" s="95">
        <f t="shared" ref="G1008:H1008" si="367">Average(G998:G1007)</f>
        <v>0.38544</v>
      </c>
      <c r="H1008" s="96">
        <f t="shared" si="367"/>
        <v>0.30572</v>
      </c>
      <c r="I1008" s="97">
        <f t="shared" si="365"/>
        <v>0.34558</v>
      </c>
      <c r="J1008" s="99"/>
    </row>
    <row r="1010">
      <c r="A1010" s="43"/>
      <c r="B1010" s="43" t="s">
        <v>0</v>
      </c>
      <c r="C1010" s="44" t="s">
        <v>189</v>
      </c>
      <c r="D1010" s="43" t="s">
        <v>2</v>
      </c>
      <c r="E1010" s="43" t="str">
        <f>"Game on " &amp; MATCH(MAX(I1012:I1021), I1012:I1021, 0) + ROW(I1012) - 1 &amp; ". row"
</f>
        <v>Game on 1021. row</v>
      </c>
      <c r="F1010" s="43"/>
      <c r="G1010" s="43"/>
      <c r="H1010" s="43"/>
      <c r="I1010" s="45"/>
      <c r="J1010" s="43"/>
    </row>
    <row r="1011">
      <c r="A1011" s="44" t="s">
        <v>190</v>
      </c>
      <c r="B1011" s="46" t="s">
        <v>4</v>
      </c>
      <c r="C1011" s="46" t="s">
        <v>5</v>
      </c>
      <c r="D1011" s="46" t="s">
        <v>6</v>
      </c>
      <c r="E1011" s="46" t="s">
        <v>7</v>
      </c>
      <c r="F1011" s="46" t="s">
        <v>8</v>
      </c>
      <c r="G1011" s="46"/>
      <c r="H1011" s="46"/>
      <c r="I1011" s="47"/>
      <c r="J1011" s="46"/>
    </row>
    <row r="1012">
      <c r="A1012" s="48">
        <v>1.0</v>
      </c>
      <c r="B1012" s="1">
        <v>4.0</v>
      </c>
      <c r="C1012" s="1">
        <v>428.0</v>
      </c>
      <c r="D1012" s="1">
        <v>1.0</v>
      </c>
      <c r="E1012" s="1">
        <v>71.0</v>
      </c>
      <c r="F1012" s="1">
        <v>2.0</v>
      </c>
      <c r="G1012" s="51">
        <f t="shared" ref="G1012:G1021" si="368">(B1012*0.5 + C1012/100*0.2 + (51 - F1012)/5*0.3)/10</f>
        <v>0.5796</v>
      </c>
      <c r="H1012" s="52">
        <f t="shared" ref="H1012:H1021" si="369">(D1012*0.5 + E1012/100*0.2 + (51 - F1012)/5*0.3)/10</f>
        <v>0.3582</v>
      </c>
      <c r="I1012" s="67">
        <f t="shared" ref="I1012:I1022" si="370">AVERAGE(G1012,H1012)</f>
        <v>0.4689</v>
      </c>
      <c r="J1012" s="99" t="s">
        <v>15</v>
      </c>
    </row>
    <row r="1013">
      <c r="A1013" s="48">
        <v>2.0</v>
      </c>
      <c r="B1013" s="1">
        <v>2.0</v>
      </c>
      <c r="C1013" s="1">
        <v>122.0</v>
      </c>
      <c r="D1013" s="1">
        <v>0.0</v>
      </c>
      <c r="E1013" s="1">
        <v>22.0</v>
      </c>
      <c r="F1013" s="1">
        <v>14.0</v>
      </c>
      <c r="G1013" s="51">
        <f t="shared" si="368"/>
        <v>0.3464</v>
      </c>
      <c r="H1013" s="52">
        <f t="shared" si="369"/>
        <v>0.2264</v>
      </c>
      <c r="I1013" s="67">
        <f t="shared" si="370"/>
        <v>0.2864</v>
      </c>
      <c r="J1013" s="100">
        <f>B1022/10</f>
        <v>2.2</v>
      </c>
    </row>
    <row r="1014">
      <c r="A1014" s="48">
        <v>3.0</v>
      </c>
      <c r="B1014" s="1">
        <v>0.0</v>
      </c>
      <c r="C1014" s="1">
        <v>170.0</v>
      </c>
      <c r="D1014" s="1">
        <v>0.0</v>
      </c>
      <c r="E1014" s="1">
        <v>60.0</v>
      </c>
      <c r="F1014" s="1">
        <v>12.0</v>
      </c>
      <c r="G1014" s="51">
        <f t="shared" si="368"/>
        <v>0.268</v>
      </c>
      <c r="H1014" s="52">
        <f t="shared" si="369"/>
        <v>0.246</v>
      </c>
      <c r="I1014" s="67">
        <f t="shared" si="370"/>
        <v>0.257</v>
      </c>
      <c r="J1014" s="99" t="s">
        <v>19</v>
      </c>
    </row>
    <row r="1015">
      <c r="A1015" s="48">
        <v>4.0</v>
      </c>
      <c r="B1015" s="82">
        <v>2.0</v>
      </c>
      <c r="C1015" s="42">
        <v>232.0</v>
      </c>
      <c r="D1015" s="27">
        <v>0.0</v>
      </c>
      <c r="E1015" s="27">
        <v>0.0</v>
      </c>
      <c r="F1015" s="87">
        <v>15.0</v>
      </c>
      <c r="G1015" s="51">
        <f t="shared" si="368"/>
        <v>0.3624</v>
      </c>
      <c r="H1015" s="52">
        <f t="shared" si="369"/>
        <v>0.216</v>
      </c>
      <c r="I1015" s="67">
        <f t="shared" si="370"/>
        <v>0.2892</v>
      </c>
      <c r="J1015" s="100">
        <f>D1022/10</f>
        <v>0.6</v>
      </c>
    </row>
    <row r="1016">
      <c r="A1016" s="48">
        <v>5.0</v>
      </c>
      <c r="B1016" s="1">
        <v>4.0</v>
      </c>
      <c r="C1016" s="1">
        <v>394.0</v>
      </c>
      <c r="D1016" s="1">
        <v>0.0</v>
      </c>
      <c r="E1016" s="1">
        <v>85.0</v>
      </c>
      <c r="F1016" s="1">
        <v>5.0</v>
      </c>
      <c r="G1016" s="51">
        <f t="shared" si="368"/>
        <v>0.5548</v>
      </c>
      <c r="H1016" s="52">
        <f t="shared" si="369"/>
        <v>0.293</v>
      </c>
      <c r="I1016" s="67">
        <f t="shared" si="370"/>
        <v>0.4239</v>
      </c>
      <c r="J1016" s="99" t="s">
        <v>23</v>
      </c>
    </row>
    <row r="1017">
      <c r="A1017" s="48">
        <v>6.0</v>
      </c>
      <c r="B1017" s="1">
        <v>0.0</v>
      </c>
      <c r="C1017" s="1">
        <v>239.0</v>
      </c>
      <c r="D1017" s="1">
        <v>0.0</v>
      </c>
      <c r="E1017" s="1">
        <v>66.0</v>
      </c>
      <c r="F1017" s="1">
        <v>36.0</v>
      </c>
      <c r="G1017" s="51">
        <f t="shared" si="368"/>
        <v>0.1378</v>
      </c>
      <c r="H1017" s="52">
        <f t="shared" si="369"/>
        <v>0.1032</v>
      </c>
      <c r="I1017" s="67">
        <f t="shared" si="370"/>
        <v>0.1205</v>
      </c>
      <c r="J1017" s="101">
        <f>J1013/J1015</f>
        <v>3.666666667</v>
      </c>
    </row>
    <row r="1018">
      <c r="A1018" s="48">
        <v>7.0</v>
      </c>
      <c r="B1018" s="1">
        <v>3.0</v>
      </c>
      <c r="C1018" s="1">
        <v>363.0</v>
      </c>
      <c r="D1018" s="1">
        <v>1.0</v>
      </c>
      <c r="E1018" s="1">
        <v>424.0</v>
      </c>
      <c r="F1018" s="1">
        <v>8.0</v>
      </c>
      <c r="G1018" s="51">
        <f t="shared" si="368"/>
        <v>0.4806</v>
      </c>
      <c r="H1018" s="52">
        <f t="shared" si="369"/>
        <v>0.3928</v>
      </c>
      <c r="I1018" s="67">
        <f t="shared" si="370"/>
        <v>0.4367</v>
      </c>
      <c r="J1018" s="99" t="s">
        <v>27</v>
      </c>
    </row>
    <row r="1019">
      <c r="A1019" s="48">
        <v>8.0</v>
      </c>
      <c r="B1019" s="1">
        <v>0.0</v>
      </c>
      <c r="C1019" s="1">
        <v>79.0</v>
      </c>
      <c r="D1019" s="1">
        <v>2.0</v>
      </c>
      <c r="E1019" s="1">
        <v>187.0</v>
      </c>
      <c r="F1019" s="1">
        <v>32.0</v>
      </c>
      <c r="G1019" s="51">
        <f t="shared" si="368"/>
        <v>0.1298</v>
      </c>
      <c r="H1019" s="52">
        <f t="shared" si="369"/>
        <v>0.2514</v>
      </c>
      <c r="I1019" s="67">
        <f t="shared" si="370"/>
        <v>0.1906</v>
      </c>
      <c r="J1019" s="101">
        <f>J1015/J1013</f>
        <v>0.2727272727</v>
      </c>
    </row>
    <row r="1020">
      <c r="A1020" s="48">
        <v>9.0</v>
      </c>
      <c r="B1020" s="1">
        <v>2.0</v>
      </c>
      <c r="C1020" s="1">
        <v>152.0</v>
      </c>
      <c r="D1020" s="1">
        <v>1.0</v>
      </c>
      <c r="E1020" s="1">
        <v>262.0</v>
      </c>
      <c r="F1020" s="1">
        <v>12.0</v>
      </c>
      <c r="G1020" s="51">
        <f t="shared" si="368"/>
        <v>0.3644</v>
      </c>
      <c r="H1020" s="52">
        <f t="shared" si="369"/>
        <v>0.3364</v>
      </c>
      <c r="I1020" s="67">
        <f t="shared" si="370"/>
        <v>0.3504</v>
      </c>
      <c r="J1020" s="99"/>
    </row>
    <row r="1021">
      <c r="A1021" s="48">
        <v>10.0</v>
      </c>
      <c r="B1021" s="1">
        <v>5.0</v>
      </c>
      <c r="C1021" s="1">
        <v>518.0</v>
      </c>
      <c r="D1021" s="1">
        <v>1.0</v>
      </c>
      <c r="E1021" s="1">
        <v>255.0</v>
      </c>
      <c r="F1021" s="1">
        <v>3.0</v>
      </c>
      <c r="G1021" s="51">
        <f t="shared" si="368"/>
        <v>0.6416</v>
      </c>
      <c r="H1021" s="52">
        <f t="shared" si="369"/>
        <v>0.389</v>
      </c>
      <c r="I1021" s="67">
        <f t="shared" si="370"/>
        <v>0.5153</v>
      </c>
      <c r="J1021" s="46"/>
    </row>
    <row r="1022">
      <c r="A1022" s="43" t="s">
        <v>33</v>
      </c>
      <c r="B1022" s="92">
        <f>SUM(B1012:B1021)</f>
        <v>22</v>
      </c>
      <c r="C1022" s="93">
        <f>AVERAGE(C1012:C1021)</f>
        <v>269.7</v>
      </c>
      <c r="D1022" s="93">
        <f>SUM(D1012:D1021)</f>
        <v>6</v>
      </c>
      <c r="E1022" s="93">
        <f t="shared" ref="E1022:F1022" si="371">AVERAGE(E1012:E1021)</f>
        <v>143.2</v>
      </c>
      <c r="F1022" s="94">
        <f t="shared" si="371"/>
        <v>13.9</v>
      </c>
      <c r="G1022" s="95">
        <f t="shared" ref="G1022:H1022" si="372">Average(G1012:G1021)</f>
        <v>0.38654</v>
      </c>
      <c r="H1022" s="96">
        <f t="shared" si="372"/>
        <v>0.28124</v>
      </c>
      <c r="I1022" s="97">
        <f t="shared" si="370"/>
        <v>0.33389</v>
      </c>
      <c r="J1022" s="99"/>
    </row>
    <row r="1024">
      <c r="A1024" s="43"/>
      <c r="B1024" s="43" t="s">
        <v>0</v>
      </c>
      <c r="C1024" s="44" t="s">
        <v>191</v>
      </c>
      <c r="D1024" s="43" t="s">
        <v>2</v>
      </c>
      <c r="E1024" s="43" t="str">
        <f>"Game on " &amp; MATCH(MAX(I1026:I1035), I1026:I1035, 0) + ROW(I1026) - 1 &amp; ". row"
</f>
        <v>Game on 1034. row</v>
      </c>
      <c r="F1024" s="43"/>
      <c r="G1024" s="43"/>
      <c r="H1024" s="43"/>
      <c r="I1024" s="45"/>
      <c r="J1024" s="43"/>
    </row>
    <row r="1025">
      <c r="A1025" s="44" t="s">
        <v>192</v>
      </c>
      <c r="B1025" s="46" t="s">
        <v>4</v>
      </c>
      <c r="C1025" s="46" t="s">
        <v>5</v>
      </c>
      <c r="D1025" s="46" t="s">
        <v>6</v>
      </c>
      <c r="E1025" s="46" t="s">
        <v>7</v>
      </c>
      <c r="F1025" s="46" t="s">
        <v>8</v>
      </c>
      <c r="G1025" s="46"/>
      <c r="H1025" s="46"/>
      <c r="I1025" s="47"/>
      <c r="J1025" s="46"/>
    </row>
    <row r="1026">
      <c r="A1026" s="48">
        <v>1.0</v>
      </c>
      <c r="B1026" s="1">
        <v>2.0</v>
      </c>
      <c r="C1026" s="1">
        <v>503.0</v>
      </c>
      <c r="D1026" s="1">
        <v>0.0</v>
      </c>
      <c r="E1026" s="1">
        <v>114.0</v>
      </c>
      <c r="F1026" s="1">
        <v>5.0</v>
      </c>
      <c r="G1026" s="51">
        <f t="shared" ref="G1026:G1035" si="373">(B1026*0.5 + C1026/100*0.2 + (51 - F1026)/5*0.3)/10</f>
        <v>0.4766</v>
      </c>
      <c r="H1026" s="52">
        <f t="shared" ref="H1026:H1035" si="374">(D1026*0.5 + E1026/100*0.2 + (51 - F1026)/5*0.3)/10</f>
        <v>0.2988</v>
      </c>
      <c r="I1026" s="67">
        <f t="shared" ref="I1026:I1036" si="375">AVERAGE(G1026,H1026)</f>
        <v>0.3877</v>
      </c>
      <c r="J1026" s="99" t="s">
        <v>15</v>
      </c>
    </row>
    <row r="1027">
      <c r="A1027" s="48">
        <v>2.0</v>
      </c>
      <c r="B1027" s="1">
        <v>1.0</v>
      </c>
      <c r="C1027" s="1">
        <v>102.0</v>
      </c>
      <c r="D1027" s="1">
        <v>3.0</v>
      </c>
      <c r="E1027" s="1">
        <v>334.0</v>
      </c>
      <c r="F1027" s="1">
        <v>9.0</v>
      </c>
      <c r="G1027" s="51">
        <f t="shared" si="373"/>
        <v>0.3224</v>
      </c>
      <c r="H1027" s="52">
        <f t="shared" si="374"/>
        <v>0.4688</v>
      </c>
      <c r="I1027" s="67">
        <f t="shared" si="375"/>
        <v>0.3956</v>
      </c>
      <c r="J1027" s="100">
        <f>B1036/10</f>
        <v>1.1</v>
      </c>
    </row>
    <row r="1028">
      <c r="A1028" s="48">
        <v>3.0</v>
      </c>
      <c r="B1028" s="1">
        <v>0.0</v>
      </c>
      <c r="C1028" s="1">
        <v>0.0</v>
      </c>
      <c r="D1028" s="1">
        <v>0.0</v>
      </c>
      <c r="E1028" s="1">
        <v>0.0</v>
      </c>
      <c r="F1028" s="1">
        <v>39.0</v>
      </c>
      <c r="G1028" s="51">
        <f t="shared" si="373"/>
        <v>0.072</v>
      </c>
      <c r="H1028" s="52">
        <f t="shared" si="374"/>
        <v>0.072</v>
      </c>
      <c r="I1028" s="67">
        <f t="shared" si="375"/>
        <v>0.072</v>
      </c>
      <c r="J1028" s="99" t="s">
        <v>19</v>
      </c>
    </row>
    <row r="1029">
      <c r="A1029" s="48">
        <v>4.0</v>
      </c>
      <c r="B1029" s="82">
        <v>0.0</v>
      </c>
      <c r="C1029" s="42">
        <v>366.0</v>
      </c>
      <c r="D1029" s="27">
        <v>0.0</v>
      </c>
      <c r="E1029" s="27">
        <v>41.0</v>
      </c>
      <c r="F1029" s="87">
        <v>5.0</v>
      </c>
      <c r="G1029" s="51">
        <f t="shared" si="373"/>
        <v>0.3492</v>
      </c>
      <c r="H1029" s="52">
        <f t="shared" si="374"/>
        <v>0.2842</v>
      </c>
      <c r="I1029" s="67">
        <f t="shared" si="375"/>
        <v>0.3167</v>
      </c>
      <c r="J1029" s="100">
        <f>D1036/10</f>
        <v>0.5</v>
      </c>
    </row>
    <row r="1030">
      <c r="A1030" s="48">
        <v>5.0</v>
      </c>
      <c r="B1030" s="1">
        <v>0.0</v>
      </c>
      <c r="C1030" s="1">
        <v>223.0</v>
      </c>
      <c r="D1030" s="1">
        <v>0.0</v>
      </c>
      <c r="E1030" s="1">
        <v>122.0</v>
      </c>
      <c r="F1030" s="1">
        <v>21.0</v>
      </c>
      <c r="G1030" s="51">
        <f t="shared" si="373"/>
        <v>0.2246</v>
      </c>
      <c r="H1030" s="52">
        <f t="shared" si="374"/>
        <v>0.2044</v>
      </c>
      <c r="I1030" s="67">
        <f t="shared" si="375"/>
        <v>0.2145</v>
      </c>
      <c r="J1030" s="99" t="s">
        <v>23</v>
      </c>
    </row>
    <row r="1031">
      <c r="A1031" s="48">
        <v>6.0</v>
      </c>
      <c r="B1031" s="1">
        <v>1.0</v>
      </c>
      <c r="C1031" s="1">
        <v>432.0</v>
      </c>
      <c r="D1031" s="1">
        <v>0.0</v>
      </c>
      <c r="E1031" s="1">
        <v>33.0</v>
      </c>
      <c r="F1031" s="1">
        <v>31.0</v>
      </c>
      <c r="G1031" s="51">
        <f t="shared" si="373"/>
        <v>0.2564</v>
      </c>
      <c r="H1031" s="52">
        <f t="shared" si="374"/>
        <v>0.1266</v>
      </c>
      <c r="I1031" s="67">
        <f t="shared" si="375"/>
        <v>0.1915</v>
      </c>
      <c r="J1031" s="101">
        <f>J1027/J1029</f>
        <v>2.2</v>
      </c>
    </row>
    <row r="1032">
      <c r="A1032" s="48">
        <v>7.0</v>
      </c>
      <c r="B1032" s="1">
        <v>1.0</v>
      </c>
      <c r="C1032" s="1">
        <v>382.0</v>
      </c>
      <c r="D1032" s="1">
        <v>0.0</v>
      </c>
      <c r="E1032" s="1">
        <v>103.0</v>
      </c>
      <c r="F1032" s="1">
        <v>18.0</v>
      </c>
      <c r="G1032" s="51">
        <f t="shared" si="373"/>
        <v>0.3244</v>
      </c>
      <c r="H1032" s="52">
        <f t="shared" si="374"/>
        <v>0.2186</v>
      </c>
      <c r="I1032" s="67">
        <f t="shared" si="375"/>
        <v>0.2715</v>
      </c>
      <c r="J1032" s="99" t="s">
        <v>27</v>
      </c>
    </row>
    <row r="1033">
      <c r="A1033" s="48">
        <v>8.0</v>
      </c>
      <c r="B1033" s="1">
        <v>1.0</v>
      </c>
      <c r="C1033" s="1">
        <v>334.0</v>
      </c>
      <c r="D1033" s="1">
        <v>1.0</v>
      </c>
      <c r="E1033" s="1">
        <v>61.0</v>
      </c>
      <c r="F1033" s="1">
        <v>23.0</v>
      </c>
      <c r="G1033" s="51">
        <f t="shared" si="373"/>
        <v>0.2848</v>
      </c>
      <c r="H1033" s="52">
        <f t="shared" si="374"/>
        <v>0.2302</v>
      </c>
      <c r="I1033" s="67">
        <f t="shared" si="375"/>
        <v>0.2575</v>
      </c>
      <c r="J1033" s="101">
        <f>J1029/J1027</f>
        <v>0.4545454545</v>
      </c>
    </row>
    <row r="1034">
      <c r="A1034" s="48">
        <v>9.0</v>
      </c>
      <c r="B1034" s="1">
        <v>5.0</v>
      </c>
      <c r="C1034" s="1">
        <v>458.0</v>
      </c>
      <c r="D1034" s="1">
        <v>1.0</v>
      </c>
      <c r="E1034" s="1">
        <v>231.0</v>
      </c>
      <c r="F1034" s="1">
        <v>7.0</v>
      </c>
      <c r="G1034" s="51">
        <f t="shared" si="373"/>
        <v>0.6056</v>
      </c>
      <c r="H1034" s="52">
        <f t="shared" si="374"/>
        <v>0.3602</v>
      </c>
      <c r="I1034" s="67">
        <f t="shared" si="375"/>
        <v>0.4829</v>
      </c>
      <c r="J1034" s="99"/>
    </row>
    <row r="1035">
      <c r="A1035" s="48">
        <v>10.0</v>
      </c>
      <c r="B1035" s="1">
        <v>0.0</v>
      </c>
      <c r="C1035" s="1">
        <v>0.0</v>
      </c>
      <c r="D1035" s="1">
        <v>0.0</v>
      </c>
      <c r="E1035" s="1">
        <v>26.0</v>
      </c>
      <c r="F1035" s="1">
        <v>23.0</v>
      </c>
      <c r="G1035" s="51">
        <f t="shared" si="373"/>
        <v>0.168</v>
      </c>
      <c r="H1035" s="52">
        <f t="shared" si="374"/>
        <v>0.1732</v>
      </c>
      <c r="I1035" s="67">
        <f t="shared" si="375"/>
        <v>0.1706</v>
      </c>
      <c r="J1035" s="46"/>
    </row>
    <row r="1036">
      <c r="A1036" s="43" t="s">
        <v>33</v>
      </c>
      <c r="B1036" s="92">
        <f>SUM(B1026:B1035)</f>
        <v>11</v>
      </c>
      <c r="C1036" s="93">
        <f>AVERAGE(C1026:C1035)</f>
        <v>280</v>
      </c>
      <c r="D1036" s="93">
        <f>SUM(D1026:D1035)</f>
        <v>5</v>
      </c>
      <c r="E1036" s="93">
        <f t="shared" ref="E1036:F1036" si="376">AVERAGE(E1026:E1035)</f>
        <v>106.5</v>
      </c>
      <c r="F1036" s="94">
        <f t="shared" si="376"/>
        <v>18.1</v>
      </c>
      <c r="G1036" s="95">
        <f t="shared" ref="G1036:H1036" si="377">Average(G1026:G1035)</f>
        <v>0.3084</v>
      </c>
      <c r="H1036" s="96">
        <f t="shared" si="377"/>
        <v>0.2437</v>
      </c>
      <c r="I1036" s="97">
        <f t="shared" si="375"/>
        <v>0.27605</v>
      </c>
      <c r="J1036" s="99"/>
    </row>
    <row r="1038">
      <c r="A1038" s="43"/>
      <c r="B1038" s="43" t="s">
        <v>0</v>
      </c>
      <c r="C1038" s="44" t="s">
        <v>193</v>
      </c>
      <c r="D1038" s="43" t="s">
        <v>2</v>
      </c>
      <c r="E1038" s="43" t="str">
        <f>"Game on " &amp; MATCH(MAX(I1040:I1049), I1040:I1049, 0) + ROW(I1040) - 1 &amp; ". row"
</f>
        <v>Game on 1042. row</v>
      </c>
      <c r="F1038" s="43"/>
      <c r="G1038" s="43"/>
      <c r="H1038" s="43"/>
      <c r="I1038" s="45"/>
      <c r="J1038" s="43"/>
    </row>
    <row r="1039">
      <c r="A1039" s="44" t="s">
        <v>194</v>
      </c>
      <c r="B1039" s="46" t="s">
        <v>4</v>
      </c>
      <c r="C1039" s="46" t="s">
        <v>5</v>
      </c>
      <c r="D1039" s="46" t="s">
        <v>6</v>
      </c>
      <c r="E1039" s="46" t="s">
        <v>7</v>
      </c>
      <c r="F1039" s="46" t="s">
        <v>8</v>
      </c>
      <c r="G1039" s="46"/>
      <c r="H1039" s="46"/>
      <c r="I1039" s="47"/>
      <c r="J1039" s="46"/>
    </row>
    <row r="1040">
      <c r="A1040" s="48">
        <v>1.0</v>
      </c>
      <c r="B1040" s="1">
        <v>0.0</v>
      </c>
      <c r="C1040" s="1">
        <v>120.0</v>
      </c>
      <c r="D1040" s="1">
        <v>0.0</v>
      </c>
      <c r="E1040" s="1">
        <v>0.0</v>
      </c>
      <c r="F1040" s="1">
        <v>21.0</v>
      </c>
      <c r="G1040" s="51">
        <f t="shared" ref="G1040:G1049" si="378">(B1040*0.5 + C1040/100*0.2 + (51 - F1040)/5*0.3)/10</f>
        <v>0.204</v>
      </c>
      <c r="H1040" s="52">
        <f t="shared" ref="H1040:H1049" si="379">(D1040*0.5 + E1040/100*0.2 + (51 - F1040)/5*0.3)/10</f>
        <v>0.18</v>
      </c>
      <c r="I1040" s="67">
        <f t="shared" ref="I1040:I1050" si="380">AVERAGE(G1040,H1040)</f>
        <v>0.192</v>
      </c>
      <c r="J1040" s="99" t="s">
        <v>15</v>
      </c>
    </row>
    <row r="1041">
      <c r="A1041" s="48">
        <v>2.0</v>
      </c>
      <c r="B1041" s="1">
        <v>4.0</v>
      </c>
      <c r="C1041" s="1">
        <v>544.0</v>
      </c>
      <c r="D1041" s="1">
        <v>1.0</v>
      </c>
      <c r="E1041" s="1">
        <v>122.0</v>
      </c>
      <c r="F1041" s="1">
        <v>13.0</v>
      </c>
      <c r="G1041" s="51">
        <f t="shared" si="378"/>
        <v>0.5368</v>
      </c>
      <c r="H1041" s="52">
        <f t="shared" si="379"/>
        <v>0.3024</v>
      </c>
      <c r="I1041" s="67">
        <f t="shared" si="380"/>
        <v>0.4196</v>
      </c>
      <c r="J1041" s="100">
        <f>B1050/10</f>
        <v>2.4</v>
      </c>
    </row>
    <row r="1042">
      <c r="A1042" s="48">
        <v>3.0</v>
      </c>
      <c r="B1042" s="1">
        <v>5.0</v>
      </c>
      <c r="C1042" s="1">
        <v>704.0</v>
      </c>
      <c r="D1042" s="1">
        <v>4.0</v>
      </c>
      <c r="E1042" s="1">
        <v>550.0</v>
      </c>
      <c r="F1042" s="1">
        <v>2.0</v>
      </c>
      <c r="G1042" s="51">
        <f t="shared" si="378"/>
        <v>0.6848</v>
      </c>
      <c r="H1042" s="52">
        <f t="shared" si="379"/>
        <v>0.604</v>
      </c>
      <c r="I1042" s="67">
        <f t="shared" si="380"/>
        <v>0.6444</v>
      </c>
      <c r="J1042" s="99" t="s">
        <v>19</v>
      </c>
    </row>
    <row r="1043">
      <c r="A1043" s="48">
        <v>4.0</v>
      </c>
      <c r="B1043" s="82">
        <v>3.0</v>
      </c>
      <c r="C1043" s="42">
        <v>332.0</v>
      </c>
      <c r="D1043" s="27">
        <v>0.0</v>
      </c>
      <c r="E1043" s="27">
        <v>0.0</v>
      </c>
      <c r="F1043" s="87">
        <v>25.0</v>
      </c>
      <c r="G1043" s="51">
        <f t="shared" si="378"/>
        <v>0.3724</v>
      </c>
      <c r="H1043" s="52">
        <f t="shared" si="379"/>
        <v>0.156</v>
      </c>
      <c r="I1043" s="67">
        <f t="shared" si="380"/>
        <v>0.2642</v>
      </c>
      <c r="J1043" s="100">
        <f>D1050/10</f>
        <v>0.7</v>
      </c>
    </row>
    <row r="1044">
      <c r="A1044" s="48">
        <v>5.0</v>
      </c>
      <c r="B1044" s="1">
        <v>0.0</v>
      </c>
      <c r="C1044" s="1">
        <v>165.0</v>
      </c>
      <c r="D1044" s="1">
        <v>0.0</v>
      </c>
      <c r="E1044" s="1">
        <v>0.0</v>
      </c>
      <c r="F1044" s="1">
        <v>21.0</v>
      </c>
      <c r="G1044" s="51">
        <f t="shared" si="378"/>
        <v>0.213</v>
      </c>
      <c r="H1044" s="52">
        <f t="shared" si="379"/>
        <v>0.18</v>
      </c>
      <c r="I1044" s="67">
        <f t="shared" si="380"/>
        <v>0.1965</v>
      </c>
      <c r="J1044" s="99" t="s">
        <v>23</v>
      </c>
    </row>
    <row r="1045">
      <c r="A1045" s="48">
        <v>6.0</v>
      </c>
      <c r="B1045" s="1">
        <v>2.0</v>
      </c>
      <c r="C1045" s="1">
        <v>288.0</v>
      </c>
      <c r="D1045" s="1">
        <v>1.0</v>
      </c>
      <c r="E1045" s="1">
        <v>179.0</v>
      </c>
      <c r="F1045" s="1">
        <v>9.0</v>
      </c>
      <c r="G1045" s="51">
        <f t="shared" si="378"/>
        <v>0.4096</v>
      </c>
      <c r="H1045" s="52">
        <f t="shared" si="379"/>
        <v>0.3378</v>
      </c>
      <c r="I1045" s="67">
        <f t="shared" si="380"/>
        <v>0.3737</v>
      </c>
      <c r="J1045" s="101">
        <f>J1041/J1043</f>
        <v>3.428571429</v>
      </c>
    </row>
    <row r="1046">
      <c r="A1046" s="48">
        <v>7.0</v>
      </c>
      <c r="B1046" s="1">
        <v>0.0</v>
      </c>
      <c r="C1046" s="1">
        <v>397.0</v>
      </c>
      <c r="D1046" s="1">
        <v>1.0</v>
      </c>
      <c r="E1046" s="1">
        <v>162.0</v>
      </c>
      <c r="F1046" s="1">
        <v>15.0</v>
      </c>
      <c r="G1046" s="51">
        <f t="shared" si="378"/>
        <v>0.2954</v>
      </c>
      <c r="H1046" s="52">
        <f t="shared" si="379"/>
        <v>0.2984</v>
      </c>
      <c r="I1046" s="67">
        <f t="shared" si="380"/>
        <v>0.2969</v>
      </c>
      <c r="J1046" s="99" t="s">
        <v>27</v>
      </c>
    </row>
    <row r="1047">
      <c r="A1047" s="48">
        <v>8.0</v>
      </c>
      <c r="B1047" s="1">
        <v>2.0</v>
      </c>
      <c r="C1047" s="1">
        <v>275.0</v>
      </c>
      <c r="D1047" s="1">
        <v>0.0</v>
      </c>
      <c r="E1047" s="1">
        <v>146.0</v>
      </c>
      <c r="F1047" s="1">
        <v>7.0</v>
      </c>
      <c r="G1047" s="51">
        <f t="shared" si="378"/>
        <v>0.419</v>
      </c>
      <c r="H1047" s="52">
        <f t="shared" si="379"/>
        <v>0.2932</v>
      </c>
      <c r="I1047" s="67">
        <f t="shared" si="380"/>
        <v>0.3561</v>
      </c>
      <c r="J1047" s="101">
        <f>J1043/J1041</f>
        <v>0.2916666667</v>
      </c>
    </row>
    <row r="1048">
      <c r="A1048" s="48">
        <v>9.0</v>
      </c>
      <c r="B1048" s="1">
        <v>0.0</v>
      </c>
      <c r="C1048" s="1">
        <v>130.0</v>
      </c>
      <c r="D1048" s="1">
        <v>0.0</v>
      </c>
      <c r="E1048" s="1">
        <v>83.0</v>
      </c>
      <c r="F1048" s="1">
        <v>29.0</v>
      </c>
      <c r="G1048" s="51">
        <f t="shared" si="378"/>
        <v>0.158</v>
      </c>
      <c r="H1048" s="52">
        <f t="shared" si="379"/>
        <v>0.1486</v>
      </c>
      <c r="I1048" s="67">
        <f t="shared" si="380"/>
        <v>0.1533</v>
      </c>
      <c r="J1048" s="99"/>
    </row>
    <row r="1049">
      <c r="A1049" s="48">
        <v>10.0</v>
      </c>
      <c r="B1049" s="1">
        <v>8.0</v>
      </c>
      <c r="C1049" s="1">
        <v>865.0</v>
      </c>
      <c r="D1049" s="1">
        <v>0.0</v>
      </c>
      <c r="E1049" s="1">
        <v>119.0</v>
      </c>
      <c r="F1049" s="1">
        <v>1.0</v>
      </c>
      <c r="G1049" s="51">
        <f t="shared" si="378"/>
        <v>0.873</v>
      </c>
      <c r="H1049" s="52">
        <f t="shared" si="379"/>
        <v>0.3238</v>
      </c>
      <c r="I1049" s="67">
        <f t="shared" si="380"/>
        <v>0.5984</v>
      </c>
      <c r="J1049" s="46"/>
    </row>
    <row r="1050">
      <c r="A1050" s="43" t="s">
        <v>33</v>
      </c>
      <c r="B1050" s="92">
        <f>SUM(B1040:B1049)</f>
        <v>24</v>
      </c>
      <c r="C1050" s="93">
        <f>AVERAGE(C1040:C1049)</f>
        <v>382</v>
      </c>
      <c r="D1050" s="93">
        <f>SUM(D1040:D1049)</f>
        <v>7</v>
      </c>
      <c r="E1050" s="93">
        <f t="shared" ref="E1050:F1050" si="381">AVERAGE(E1040:E1049)</f>
        <v>136.1</v>
      </c>
      <c r="F1050" s="94">
        <f t="shared" si="381"/>
        <v>14.3</v>
      </c>
      <c r="G1050" s="95">
        <f t="shared" ref="G1050:H1050" si="382">Average(G1040:G1049)</f>
        <v>0.4166</v>
      </c>
      <c r="H1050" s="96">
        <f t="shared" si="382"/>
        <v>0.28242</v>
      </c>
      <c r="I1050" s="97">
        <f t="shared" si="380"/>
        <v>0.34951</v>
      </c>
      <c r="J1050" s="99"/>
    </row>
    <row r="1052">
      <c r="A1052" s="43"/>
      <c r="B1052" s="43" t="s">
        <v>0</v>
      </c>
      <c r="C1052" s="44" t="s">
        <v>193</v>
      </c>
      <c r="D1052" s="43" t="s">
        <v>2</v>
      </c>
      <c r="E1052" s="43" t="str">
        <f>"Game on " &amp; MATCH(MAX(I1054:I1063), I1054:I1063, 0) + ROW(I1054) - 1 &amp; ". row"
</f>
        <v>Game on 1061. row</v>
      </c>
      <c r="F1052" s="43"/>
      <c r="G1052" s="43"/>
      <c r="H1052" s="43"/>
      <c r="I1052" s="45"/>
      <c r="J1052" s="43"/>
    </row>
    <row r="1053">
      <c r="A1053" s="44" t="s">
        <v>195</v>
      </c>
      <c r="B1053" s="46" t="s">
        <v>4</v>
      </c>
      <c r="C1053" s="46" t="s">
        <v>5</v>
      </c>
      <c r="D1053" s="46" t="s">
        <v>6</v>
      </c>
      <c r="E1053" s="46" t="s">
        <v>7</v>
      </c>
      <c r="F1053" s="46" t="s">
        <v>8</v>
      </c>
      <c r="G1053" s="46"/>
      <c r="H1053" s="46"/>
      <c r="I1053" s="47"/>
      <c r="J1053" s="46"/>
    </row>
    <row r="1054">
      <c r="A1054" s="48">
        <v>1.0</v>
      </c>
      <c r="B1054" s="1">
        <v>0.0</v>
      </c>
      <c r="C1054" s="1">
        <v>24.0</v>
      </c>
      <c r="D1054" s="1">
        <v>1.0</v>
      </c>
      <c r="E1054" s="1">
        <v>196.0</v>
      </c>
      <c r="F1054" s="1">
        <v>30.0</v>
      </c>
      <c r="G1054" s="51">
        <f t="shared" ref="G1054:G1063" si="383">(B1054*0.5 + C1054/100*0.2 + (51 - F1054)/5*0.3)/10</f>
        <v>0.1308</v>
      </c>
      <c r="H1054" s="52">
        <f t="shared" ref="H1054:H1063" si="384">(D1054*0.5 + E1054/100*0.2 + (51 - F1054)/5*0.3)/10</f>
        <v>0.2152</v>
      </c>
      <c r="I1054" s="67">
        <f t="shared" ref="I1054:I1064" si="385">AVERAGE(G1054,H1054)</f>
        <v>0.173</v>
      </c>
      <c r="J1054" s="99" t="s">
        <v>15</v>
      </c>
    </row>
    <row r="1055">
      <c r="A1055" s="48">
        <v>2.0</v>
      </c>
      <c r="B1055" s="1">
        <v>0.0</v>
      </c>
      <c r="C1055" s="1">
        <v>0.0</v>
      </c>
      <c r="D1055" s="1">
        <v>0.0</v>
      </c>
      <c r="E1055" s="1">
        <v>223.0</v>
      </c>
      <c r="F1055" s="1">
        <v>24.0</v>
      </c>
      <c r="G1055" s="51">
        <f t="shared" si="383"/>
        <v>0.162</v>
      </c>
      <c r="H1055" s="52">
        <f t="shared" si="384"/>
        <v>0.2066</v>
      </c>
      <c r="I1055" s="67">
        <f t="shared" si="385"/>
        <v>0.1843</v>
      </c>
      <c r="J1055" s="100">
        <f>B1064/10</f>
        <v>0.6</v>
      </c>
    </row>
    <row r="1056">
      <c r="A1056" s="48">
        <v>3.0</v>
      </c>
      <c r="B1056" s="1">
        <v>0.0</v>
      </c>
      <c r="C1056" s="1">
        <v>333.0</v>
      </c>
      <c r="D1056" s="1">
        <v>0.0</v>
      </c>
      <c r="E1056" s="1">
        <v>194.0</v>
      </c>
      <c r="F1056" s="1">
        <v>11.0</v>
      </c>
      <c r="G1056" s="51">
        <f t="shared" si="383"/>
        <v>0.3066</v>
      </c>
      <c r="H1056" s="52">
        <f t="shared" si="384"/>
        <v>0.2788</v>
      </c>
      <c r="I1056" s="67">
        <f t="shared" si="385"/>
        <v>0.2927</v>
      </c>
      <c r="J1056" s="99" t="s">
        <v>19</v>
      </c>
    </row>
    <row r="1057">
      <c r="A1057" s="48">
        <v>4.0</v>
      </c>
      <c r="B1057" s="82">
        <v>0.0</v>
      </c>
      <c r="C1057" s="42">
        <v>19.0</v>
      </c>
      <c r="D1057" s="27">
        <v>0.0</v>
      </c>
      <c r="E1057" s="27">
        <v>0.0</v>
      </c>
      <c r="F1057" s="87">
        <v>41.0</v>
      </c>
      <c r="G1057" s="51">
        <f t="shared" si="383"/>
        <v>0.0638</v>
      </c>
      <c r="H1057" s="52">
        <f t="shared" si="384"/>
        <v>0.06</v>
      </c>
      <c r="I1057" s="67">
        <f t="shared" si="385"/>
        <v>0.0619</v>
      </c>
      <c r="J1057" s="100">
        <f>D1064/10</f>
        <v>0.2</v>
      </c>
    </row>
    <row r="1058">
      <c r="A1058" s="48">
        <v>5.0</v>
      </c>
      <c r="B1058" s="1">
        <v>0.0</v>
      </c>
      <c r="C1058" s="1">
        <v>280.0</v>
      </c>
      <c r="D1058" s="1">
        <v>0.0</v>
      </c>
      <c r="E1058" s="1">
        <v>117.0</v>
      </c>
      <c r="F1058" s="1">
        <v>18.0</v>
      </c>
      <c r="G1058" s="51">
        <f t="shared" si="383"/>
        <v>0.254</v>
      </c>
      <c r="H1058" s="52">
        <f t="shared" si="384"/>
        <v>0.2214</v>
      </c>
      <c r="I1058" s="67">
        <f t="shared" si="385"/>
        <v>0.2377</v>
      </c>
      <c r="J1058" s="99" t="s">
        <v>23</v>
      </c>
    </row>
    <row r="1059">
      <c r="A1059" s="48">
        <v>6.0</v>
      </c>
      <c r="B1059" s="1">
        <v>0.0</v>
      </c>
      <c r="C1059" s="1">
        <v>0.0</v>
      </c>
      <c r="D1059" s="1">
        <v>0.0</v>
      </c>
      <c r="E1059" s="1">
        <v>0.0</v>
      </c>
      <c r="F1059" s="1">
        <v>50.0</v>
      </c>
      <c r="G1059" s="51">
        <f t="shared" si="383"/>
        <v>0.006</v>
      </c>
      <c r="H1059" s="52">
        <f t="shared" si="384"/>
        <v>0.006</v>
      </c>
      <c r="I1059" s="67">
        <f t="shared" si="385"/>
        <v>0.006</v>
      </c>
      <c r="J1059" s="101">
        <f>J1055/J1057</f>
        <v>3</v>
      </c>
    </row>
    <row r="1060">
      <c r="A1060" s="48">
        <v>7.0</v>
      </c>
      <c r="B1060" s="1">
        <v>1.0</v>
      </c>
      <c r="C1060" s="1">
        <v>202.0</v>
      </c>
      <c r="D1060" s="1">
        <v>1.0</v>
      </c>
      <c r="E1060" s="1">
        <v>274.0</v>
      </c>
      <c r="F1060" s="1">
        <v>4.0</v>
      </c>
      <c r="G1060" s="51">
        <f t="shared" si="383"/>
        <v>0.3724</v>
      </c>
      <c r="H1060" s="52">
        <f t="shared" si="384"/>
        <v>0.3868</v>
      </c>
      <c r="I1060" s="67">
        <f t="shared" si="385"/>
        <v>0.3796</v>
      </c>
      <c r="J1060" s="99" t="s">
        <v>27</v>
      </c>
    </row>
    <row r="1061">
      <c r="A1061" s="48">
        <v>8.0</v>
      </c>
      <c r="B1061" s="1">
        <v>4.0</v>
      </c>
      <c r="C1061" s="1">
        <v>515.0</v>
      </c>
      <c r="D1061" s="1">
        <v>0.0</v>
      </c>
      <c r="E1061" s="1">
        <v>274.0</v>
      </c>
      <c r="F1061" s="1">
        <v>5.0</v>
      </c>
      <c r="G1061" s="51">
        <f t="shared" si="383"/>
        <v>0.579</v>
      </c>
      <c r="H1061" s="52">
        <f t="shared" si="384"/>
        <v>0.3308</v>
      </c>
      <c r="I1061" s="67">
        <f t="shared" si="385"/>
        <v>0.4549</v>
      </c>
      <c r="J1061" s="101">
        <f>J1057/J1055</f>
        <v>0.3333333333</v>
      </c>
    </row>
    <row r="1062">
      <c r="A1062" s="48">
        <v>9.0</v>
      </c>
      <c r="B1062" s="1">
        <v>1.0</v>
      </c>
      <c r="C1062" s="1">
        <v>87.0</v>
      </c>
      <c r="D1062" s="1">
        <v>0.0</v>
      </c>
      <c r="E1062" s="1">
        <v>0.0</v>
      </c>
      <c r="F1062" s="1">
        <v>22.0</v>
      </c>
      <c r="G1062" s="51">
        <f t="shared" si="383"/>
        <v>0.2414</v>
      </c>
      <c r="H1062" s="52">
        <f t="shared" si="384"/>
        <v>0.174</v>
      </c>
      <c r="I1062" s="67">
        <f t="shared" si="385"/>
        <v>0.2077</v>
      </c>
      <c r="J1062" s="99"/>
    </row>
    <row r="1063">
      <c r="A1063" s="48">
        <v>10.0</v>
      </c>
      <c r="B1063" s="1">
        <v>0.0</v>
      </c>
      <c r="C1063" s="1">
        <v>0.0</v>
      </c>
      <c r="D1063" s="1">
        <v>0.0</v>
      </c>
      <c r="E1063" s="1">
        <v>60.0</v>
      </c>
      <c r="F1063" s="1">
        <v>14.0</v>
      </c>
      <c r="G1063" s="51">
        <f t="shared" si="383"/>
        <v>0.222</v>
      </c>
      <c r="H1063" s="52">
        <f t="shared" si="384"/>
        <v>0.234</v>
      </c>
      <c r="I1063" s="67">
        <f t="shared" si="385"/>
        <v>0.228</v>
      </c>
      <c r="J1063" s="46"/>
    </row>
    <row r="1064">
      <c r="A1064" s="43" t="s">
        <v>33</v>
      </c>
      <c r="B1064" s="92">
        <f>SUM(B1054:B1063)</f>
        <v>6</v>
      </c>
      <c r="C1064" s="93">
        <f>AVERAGE(C1054:C1063)</f>
        <v>146</v>
      </c>
      <c r="D1064" s="93">
        <f>SUM(D1054:D1063)</f>
        <v>2</v>
      </c>
      <c r="E1064" s="93">
        <f t="shared" ref="E1064:F1064" si="386">AVERAGE(E1054:E1063)</f>
        <v>133.8</v>
      </c>
      <c r="F1064" s="94">
        <f t="shared" si="386"/>
        <v>21.9</v>
      </c>
      <c r="G1064" s="95">
        <f t="shared" ref="G1064:H1064" si="387">Average(G1054:G1063)</f>
        <v>0.2338</v>
      </c>
      <c r="H1064" s="96">
        <f t="shared" si="387"/>
        <v>0.21136</v>
      </c>
      <c r="I1064" s="97">
        <f t="shared" si="385"/>
        <v>0.22258</v>
      </c>
      <c r="J1064" s="99"/>
    </row>
    <row r="1066">
      <c r="A1066" s="43"/>
      <c r="B1066" s="43" t="s">
        <v>0</v>
      </c>
      <c r="C1066" s="44" t="s">
        <v>196</v>
      </c>
      <c r="D1066" s="43" t="s">
        <v>2</v>
      </c>
      <c r="E1066" s="43" t="str">
        <f>"Game on " &amp; MATCH(MAX(I1068:I1077), I1068:I1077, 0) + ROW(I1068) - 1 &amp; ". row"
</f>
        <v>Game on 1073. row</v>
      </c>
      <c r="F1066" s="43"/>
      <c r="G1066" s="43"/>
      <c r="H1066" s="43"/>
      <c r="I1066" s="45"/>
      <c r="J1066" s="43"/>
    </row>
    <row r="1067">
      <c r="A1067" s="44" t="s">
        <v>197</v>
      </c>
      <c r="B1067" s="46" t="s">
        <v>4</v>
      </c>
      <c r="C1067" s="46" t="s">
        <v>5</v>
      </c>
      <c r="D1067" s="46" t="s">
        <v>6</v>
      </c>
      <c r="E1067" s="46" t="s">
        <v>7</v>
      </c>
      <c r="F1067" s="46" t="s">
        <v>8</v>
      </c>
      <c r="G1067" s="46"/>
      <c r="H1067" s="46"/>
      <c r="I1067" s="47"/>
      <c r="J1067" s="46"/>
    </row>
    <row r="1068">
      <c r="A1068" s="48">
        <v>1.0</v>
      </c>
      <c r="B1068" s="1">
        <v>0.0</v>
      </c>
      <c r="C1068" s="1">
        <v>107.0</v>
      </c>
      <c r="D1068" s="1">
        <v>0.0</v>
      </c>
      <c r="E1068" s="1">
        <v>0.0</v>
      </c>
      <c r="F1068" s="1">
        <v>29.0</v>
      </c>
      <c r="G1068" s="51">
        <f t="shared" ref="G1068:G1077" si="388">(B1068*0.5 + C1068/100*0.2 + (51 - F1068)/5*0.3)/10</f>
        <v>0.1534</v>
      </c>
      <c r="H1068" s="52">
        <f t="shared" ref="H1068:H1077" si="389">(D1068*0.5 + E1068/100*0.2 + (51 - F1068)/5*0.3)/10</f>
        <v>0.132</v>
      </c>
      <c r="I1068" s="67">
        <f t="shared" ref="I1068:I1078" si="390">AVERAGE(G1068,H1068)</f>
        <v>0.1427</v>
      </c>
      <c r="J1068" s="99" t="s">
        <v>15</v>
      </c>
    </row>
    <row r="1069">
      <c r="A1069" s="48">
        <v>2.0</v>
      </c>
      <c r="B1069" s="1">
        <v>4.0</v>
      </c>
      <c r="C1069" s="1">
        <v>384.0</v>
      </c>
      <c r="D1069" s="1">
        <v>0.0</v>
      </c>
      <c r="E1069" s="1">
        <v>45.0</v>
      </c>
      <c r="F1069" s="1">
        <v>27.0</v>
      </c>
      <c r="G1069" s="51">
        <f t="shared" si="388"/>
        <v>0.4208</v>
      </c>
      <c r="H1069" s="52">
        <f t="shared" si="389"/>
        <v>0.153</v>
      </c>
      <c r="I1069" s="67">
        <f t="shared" si="390"/>
        <v>0.2869</v>
      </c>
      <c r="J1069" s="100">
        <f>B1078/10</f>
        <v>0.8</v>
      </c>
    </row>
    <row r="1070">
      <c r="A1070" s="48">
        <v>3.0</v>
      </c>
      <c r="B1070" s="1">
        <v>1.0</v>
      </c>
      <c r="C1070" s="1">
        <v>175.0</v>
      </c>
      <c r="D1070" s="1">
        <v>3.0</v>
      </c>
      <c r="E1070" s="1">
        <v>214.0</v>
      </c>
      <c r="F1070" s="1">
        <v>13.0</v>
      </c>
      <c r="G1070" s="51">
        <f t="shared" si="388"/>
        <v>0.313</v>
      </c>
      <c r="H1070" s="52">
        <f t="shared" si="389"/>
        <v>0.4208</v>
      </c>
      <c r="I1070" s="67">
        <f t="shared" si="390"/>
        <v>0.3669</v>
      </c>
      <c r="J1070" s="99" t="s">
        <v>19</v>
      </c>
    </row>
    <row r="1071">
      <c r="A1071" s="48">
        <v>4.0</v>
      </c>
      <c r="B1071" s="82">
        <v>0.0</v>
      </c>
      <c r="C1071" s="42">
        <v>100.0</v>
      </c>
      <c r="D1071" s="27">
        <v>0.0</v>
      </c>
      <c r="E1071" s="27">
        <v>13.0</v>
      </c>
      <c r="F1071" s="87">
        <v>36.0</v>
      </c>
      <c r="G1071" s="51">
        <f t="shared" si="388"/>
        <v>0.11</v>
      </c>
      <c r="H1071" s="52">
        <f t="shared" si="389"/>
        <v>0.0926</v>
      </c>
      <c r="I1071" s="67">
        <f t="shared" si="390"/>
        <v>0.1013</v>
      </c>
      <c r="J1071" s="100">
        <f>D1078/10</f>
        <v>0.9</v>
      </c>
    </row>
    <row r="1072">
      <c r="A1072" s="48">
        <v>5.0</v>
      </c>
      <c r="B1072" s="1">
        <v>0.0</v>
      </c>
      <c r="C1072" s="1">
        <v>0.0</v>
      </c>
      <c r="D1072" s="1">
        <v>0.0</v>
      </c>
      <c r="E1072" s="1">
        <v>0.0</v>
      </c>
      <c r="F1072" s="1">
        <v>49.0</v>
      </c>
      <c r="G1072" s="51">
        <f t="shared" si="388"/>
        <v>0.012</v>
      </c>
      <c r="H1072" s="52">
        <f t="shared" si="389"/>
        <v>0.012</v>
      </c>
      <c r="I1072" s="67">
        <f t="shared" si="390"/>
        <v>0.012</v>
      </c>
      <c r="J1072" s="99" t="s">
        <v>23</v>
      </c>
    </row>
    <row r="1073">
      <c r="A1073" s="48">
        <v>6.0</v>
      </c>
      <c r="B1073" s="1">
        <v>1.0</v>
      </c>
      <c r="C1073" s="1">
        <v>230.0</v>
      </c>
      <c r="D1073" s="1">
        <v>4.0</v>
      </c>
      <c r="E1073" s="1">
        <v>363.0</v>
      </c>
      <c r="F1073" s="1">
        <v>1.0</v>
      </c>
      <c r="G1073" s="51">
        <f t="shared" si="388"/>
        <v>0.396</v>
      </c>
      <c r="H1073" s="52">
        <f t="shared" si="389"/>
        <v>0.5726</v>
      </c>
      <c r="I1073" s="67">
        <f t="shared" si="390"/>
        <v>0.4843</v>
      </c>
      <c r="J1073" s="101">
        <f>J1069/J1071</f>
        <v>0.8888888889</v>
      </c>
    </row>
    <row r="1074">
      <c r="A1074" s="48">
        <v>7.0</v>
      </c>
      <c r="B1074" s="1">
        <v>0.0</v>
      </c>
      <c r="C1074" s="1">
        <v>398.0</v>
      </c>
      <c r="D1074" s="1">
        <v>0.0</v>
      </c>
      <c r="E1074" s="1">
        <v>61.0</v>
      </c>
      <c r="F1074" s="1">
        <v>22.0</v>
      </c>
      <c r="G1074" s="51">
        <f t="shared" si="388"/>
        <v>0.2536</v>
      </c>
      <c r="H1074" s="52">
        <f t="shared" si="389"/>
        <v>0.1862</v>
      </c>
      <c r="I1074" s="67">
        <f t="shared" si="390"/>
        <v>0.2199</v>
      </c>
      <c r="J1074" s="99" t="s">
        <v>27</v>
      </c>
    </row>
    <row r="1075">
      <c r="A1075" s="48">
        <v>8.0</v>
      </c>
      <c r="B1075" s="1">
        <v>0.0</v>
      </c>
      <c r="C1075" s="1">
        <v>227.0</v>
      </c>
      <c r="D1075" s="1">
        <v>1.0</v>
      </c>
      <c r="E1075" s="1">
        <v>79.0</v>
      </c>
      <c r="F1075" s="1">
        <v>18.0</v>
      </c>
      <c r="G1075" s="51">
        <f t="shared" si="388"/>
        <v>0.2434</v>
      </c>
      <c r="H1075" s="52">
        <f t="shared" si="389"/>
        <v>0.2638</v>
      </c>
      <c r="I1075" s="67">
        <f t="shared" si="390"/>
        <v>0.2536</v>
      </c>
      <c r="J1075" s="101">
        <f>J1071/J1069</f>
        <v>1.125</v>
      </c>
    </row>
    <row r="1076">
      <c r="A1076" s="48">
        <v>9.0</v>
      </c>
      <c r="B1076" s="1">
        <v>1.0</v>
      </c>
      <c r="C1076" s="1">
        <v>373.0</v>
      </c>
      <c r="D1076" s="1">
        <v>1.0</v>
      </c>
      <c r="E1076" s="1">
        <v>160.0</v>
      </c>
      <c r="F1076" s="1">
        <v>21.0</v>
      </c>
      <c r="G1076" s="51">
        <f t="shared" si="388"/>
        <v>0.3046</v>
      </c>
      <c r="H1076" s="52">
        <f t="shared" si="389"/>
        <v>0.262</v>
      </c>
      <c r="I1076" s="67">
        <f t="shared" si="390"/>
        <v>0.2833</v>
      </c>
      <c r="J1076" s="99"/>
    </row>
    <row r="1077">
      <c r="A1077" s="48">
        <v>10.0</v>
      </c>
      <c r="B1077" s="1">
        <v>1.0</v>
      </c>
      <c r="C1077" s="1">
        <v>160.0</v>
      </c>
      <c r="D1077" s="1">
        <v>0.0</v>
      </c>
      <c r="E1077" s="1">
        <v>55.0</v>
      </c>
      <c r="F1077" s="1">
        <v>38.0</v>
      </c>
      <c r="G1077" s="51">
        <f t="shared" si="388"/>
        <v>0.16</v>
      </c>
      <c r="H1077" s="52">
        <f t="shared" si="389"/>
        <v>0.089</v>
      </c>
      <c r="I1077" s="67">
        <f t="shared" si="390"/>
        <v>0.1245</v>
      </c>
      <c r="J1077" s="46"/>
    </row>
    <row r="1078">
      <c r="A1078" s="43" t="s">
        <v>33</v>
      </c>
      <c r="B1078" s="92">
        <f>SUM(B1068:B1077)</f>
        <v>8</v>
      </c>
      <c r="C1078" s="93">
        <f>AVERAGE(C1068:C1077)</f>
        <v>215.4</v>
      </c>
      <c r="D1078" s="93">
        <f>SUM(D1068:D1077)</f>
        <v>9</v>
      </c>
      <c r="E1078" s="93">
        <f t="shared" ref="E1078:F1078" si="391">AVERAGE(E1068:E1077)</f>
        <v>99</v>
      </c>
      <c r="F1078" s="94">
        <f t="shared" si="391"/>
        <v>25.4</v>
      </c>
      <c r="G1078" s="95">
        <f t="shared" ref="G1078:H1078" si="392">Average(G1068:G1077)</f>
        <v>0.23668</v>
      </c>
      <c r="H1078" s="96">
        <f t="shared" si="392"/>
        <v>0.2184</v>
      </c>
      <c r="I1078" s="97">
        <f t="shared" si="390"/>
        <v>0.22754</v>
      </c>
      <c r="J1078" s="99"/>
    </row>
    <row r="1080">
      <c r="A1080" s="43"/>
      <c r="B1080" s="43" t="s">
        <v>0</v>
      </c>
      <c r="C1080" s="44" t="s">
        <v>198</v>
      </c>
      <c r="D1080" s="43" t="s">
        <v>2</v>
      </c>
      <c r="E1080" s="43" t="str">
        <f>"Game on " &amp; MATCH(MAX(I1082:I1091), I1082:I1091, 0) + ROW(I1082) - 1 &amp; ". row"
</f>
        <v>Game on 1089. row</v>
      </c>
      <c r="F1080" s="43"/>
      <c r="G1080" s="43"/>
      <c r="H1080" s="43"/>
      <c r="I1080" s="45"/>
      <c r="J1080" s="43"/>
    </row>
    <row r="1081">
      <c r="A1081" s="44" t="s">
        <v>199</v>
      </c>
      <c r="B1081" s="46" t="s">
        <v>4</v>
      </c>
      <c r="C1081" s="46" t="s">
        <v>5</v>
      </c>
      <c r="D1081" s="46" t="s">
        <v>6</v>
      </c>
      <c r="E1081" s="46" t="s">
        <v>7</v>
      </c>
      <c r="F1081" s="46" t="s">
        <v>8</v>
      </c>
      <c r="G1081" s="46"/>
      <c r="H1081" s="46"/>
      <c r="I1081" s="47"/>
      <c r="J1081" s="46"/>
    </row>
    <row r="1082">
      <c r="A1082" s="48">
        <v>1.0</v>
      </c>
      <c r="B1082" s="1">
        <v>0.0</v>
      </c>
      <c r="C1082" s="1">
        <v>87.0</v>
      </c>
      <c r="D1082" s="1">
        <v>0.0</v>
      </c>
      <c r="E1082" s="1">
        <v>0.0</v>
      </c>
      <c r="F1082" s="1">
        <v>30.0</v>
      </c>
      <c r="G1082" s="51">
        <f t="shared" ref="G1082:G1091" si="393">(B1082*0.5 + C1082/100*0.2 + (51 - F1082)/5*0.3)/10</f>
        <v>0.1434</v>
      </c>
      <c r="H1082" s="52">
        <f t="shared" ref="H1082:H1091" si="394">(D1082*0.5 + E1082/100*0.2 + (51 - F1082)/5*0.3)/10</f>
        <v>0.126</v>
      </c>
      <c r="I1082" s="67">
        <f t="shared" ref="I1082:I1092" si="395">AVERAGE(G1082,H1082)</f>
        <v>0.1347</v>
      </c>
      <c r="J1082" s="99" t="s">
        <v>15</v>
      </c>
    </row>
    <row r="1083">
      <c r="A1083" s="48">
        <v>2.0</v>
      </c>
      <c r="B1083" s="1">
        <v>2.0</v>
      </c>
      <c r="C1083" s="1">
        <v>536.0</v>
      </c>
      <c r="D1083" s="1">
        <v>0.0</v>
      </c>
      <c r="E1083" s="1">
        <v>127.0</v>
      </c>
      <c r="F1083" s="1">
        <v>14.0</v>
      </c>
      <c r="G1083" s="51">
        <f t="shared" si="393"/>
        <v>0.4292</v>
      </c>
      <c r="H1083" s="52">
        <f t="shared" si="394"/>
        <v>0.2474</v>
      </c>
      <c r="I1083" s="67">
        <f t="shared" si="395"/>
        <v>0.3383</v>
      </c>
      <c r="J1083" s="100">
        <f>B1092/10</f>
        <v>1.1</v>
      </c>
    </row>
    <row r="1084">
      <c r="A1084" s="48">
        <v>3.0</v>
      </c>
      <c r="B1084" s="1">
        <v>3.0</v>
      </c>
      <c r="C1084" s="1">
        <v>259.0</v>
      </c>
      <c r="D1084" s="1">
        <v>0.0</v>
      </c>
      <c r="E1084" s="1">
        <v>191.0</v>
      </c>
      <c r="F1084" s="1">
        <v>18.0</v>
      </c>
      <c r="G1084" s="51">
        <f t="shared" si="393"/>
        <v>0.3998</v>
      </c>
      <c r="H1084" s="52">
        <f t="shared" si="394"/>
        <v>0.2362</v>
      </c>
      <c r="I1084" s="67">
        <f t="shared" si="395"/>
        <v>0.318</v>
      </c>
      <c r="J1084" s="99" t="s">
        <v>19</v>
      </c>
    </row>
    <row r="1085">
      <c r="A1085" s="48">
        <v>4.0</v>
      </c>
      <c r="B1085" s="82">
        <v>0.0</v>
      </c>
      <c r="C1085" s="42">
        <v>0.0</v>
      </c>
      <c r="D1085" s="27">
        <v>2.0</v>
      </c>
      <c r="E1085" s="27">
        <v>195.0</v>
      </c>
      <c r="F1085" s="87">
        <v>24.0</v>
      </c>
      <c r="G1085" s="51">
        <f t="shared" si="393"/>
        <v>0.162</v>
      </c>
      <c r="H1085" s="52">
        <f t="shared" si="394"/>
        <v>0.301</v>
      </c>
      <c r="I1085" s="67">
        <f t="shared" si="395"/>
        <v>0.2315</v>
      </c>
      <c r="J1085" s="100">
        <f>D1092/10</f>
        <v>1</v>
      </c>
    </row>
    <row r="1086">
      <c r="A1086" s="48">
        <v>5.0</v>
      </c>
      <c r="B1086" s="1">
        <v>0.0</v>
      </c>
      <c r="C1086" s="1">
        <v>403.0</v>
      </c>
      <c r="D1086" s="1">
        <v>3.0</v>
      </c>
      <c r="E1086" s="1">
        <v>346.0</v>
      </c>
      <c r="F1086" s="1">
        <v>4.0</v>
      </c>
      <c r="G1086" s="51">
        <f t="shared" si="393"/>
        <v>0.3626</v>
      </c>
      <c r="H1086" s="52">
        <f t="shared" si="394"/>
        <v>0.5012</v>
      </c>
      <c r="I1086" s="67">
        <f t="shared" si="395"/>
        <v>0.4319</v>
      </c>
      <c r="J1086" s="99" t="s">
        <v>23</v>
      </c>
    </row>
    <row r="1087">
      <c r="A1087" s="48">
        <v>6.0</v>
      </c>
      <c r="B1087" s="1">
        <v>0.0</v>
      </c>
      <c r="C1087" s="1">
        <v>69.0</v>
      </c>
      <c r="D1087" s="1">
        <v>0.0</v>
      </c>
      <c r="E1087" s="1">
        <v>49.0</v>
      </c>
      <c r="F1087" s="1">
        <v>43.0</v>
      </c>
      <c r="G1087" s="51">
        <f t="shared" si="393"/>
        <v>0.0618</v>
      </c>
      <c r="H1087" s="52">
        <f t="shared" si="394"/>
        <v>0.0578</v>
      </c>
      <c r="I1087" s="67">
        <f t="shared" si="395"/>
        <v>0.0598</v>
      </c>
      <c r="J1087" s="101">
        <f>J1083/J1085</f>
        <v>1.1</v>
      </c>
    </row>
    <row r="1088">
      <c r="A1088" s="48">
        <v>7.0</v>
      </c>
      <c r="B1088" s="1">
        <v>1.0</v>
      </c>
      <c r="C1088" s="1">
        <v>145.0</v>
      </c>
      <c r="D1088" s="1">
        <v>1.0</v>
      </c>
      <c r="E1088" s="1">
        <v>205.0</v>
      </c>
      <c r="F1088" s="1">
        <v>13.0</v>
      </c>
      <c r="G1088" s="51">
        <f t="shared" si="393"/>
        <v>0.307</v>
      </c>
      <c r="H1088" s="52">
        <f t="shared" si="394"/>
        <v>0.319</v>
      </c>
      <c r="I1088" s="67">
        <f t="shared" si="395"/>
        <v>0.313</v>
      </c>
      <c r="J1088" s="99" t="s">
        <v>27</v>
      </c>
    </row>
    <row r="1089">
      <c r="A1089" s="48">
        <v>8.0</v>
      </c>
      <c r="B1089" s="1">
        <v>4.0</v>
      </c>
      <c r="C1089" s="1">
        <v>702.0</v>
      </c>
      <c r="D1089" s="1">
        <v>3.0</v>
      </c>
      <c r="E1089" s="1">
        <v>345.0</v>
      </c>
      <c r="F1089" s="1">
        <v>3.0</v>
      </c>
      <c r="G1089" s="51">
        <f t="shared" si="393"/>
        <v>0.6284</v>
      </c>
      <c r="H1089" s="52">
        <f t="shared" si="394"/>
        <v>0.507</v>
      </c>
      <c r="I1089" s="67">
        <f t="shared" si="395"/>
        <v>0.5677</v>
      </c>
      <c r="J1089" s="101">
        <f>J1085/J1083</f>
        <v>0.9090909091</v>
      </c>
    </row>
    <row r="1090">
      <c r="A1090" s="48">
        <v>9.0</v>
      </c>
      <c r="B1090" s="1">
        <v>0.0</v>
      </c>
      <c r="C1090" s="1">
        <v>0.0</v>
      </c>
      <c r="D1090" s="1">
        <v>0.0</v>
      </c>
      <c r="E1090" s="1">
        <v>154.0</v>
      </c>
      <c r="F1090" s="1">
        <v>42.0</v>
      </c>
      <c r="G1090" s="51">
        <f t="shared" si="393"/>
        <v>0.054</v>
      </c>
      <c r="H1090" s="52">
        <f t="shared" si="394"/>
        <v>0.0848</v>
      </c>
      <c r="I1090" s="67">
        <f t="shared" si="395"/>
        <v>0.0694</v>
      </c>
      <c r="J1090" s="99"/>
    </row>
    <row r="1091">
      <c r="A1091" s="48">
        <v>10.0</v>
      </c>
      <c r="B1091" s="1">
        <v>1.0</v>
      </c>
      <c r="C1091" s="1">
        <v>100.0</v>
      </c>
      <c r="D1091" s="1">
        <v>1.0</v>
      </c>
      <c r="E1091" s="1">
        <v>120.0</v>
      </c>
      <c r="F1091" s="1">
        <v>22.0</v>
      </c>
      <c r="G1091" s="51">
        <f t="shared" si="393"/>
        <v>0.244</v>
      </c>
      <c r="H1091" s="52">
        <f t="shared" si="394"/>
        <v>0.248</v>
      </c>
      <c r="I1091" s="67">
        <f t="shared" si="395"/>
        <v>0.246</v>
      </c>
      <c r="J1091" s="46"/>
    </row>
    <row r="1092">
      <c r="A1092" s="43" t="s">
        <v>33</v>
      </c>
      <c r="B1092" s="92">
        <f>SUM(B1082:B1091)</f>
        <v>11</v>
      </c>
      <c r="C1092" s="93">
        <f>AVERAGE(C1082:C1091)</f>
        <v>230.1</v>
      </c>
      <c r="D1092" s="93">
        <f>SUM(D1082:D1091)</f>
        <v>10</v>
      </c>
      <c r="E1092" s="93">
        <f t="shared" ref="E1092:F1092" si="396">AVERAGE(E1082:E1091)</f>
        <v>173.2</v>
      </c>
      <c r="F1092" s="94">
        <f t="shared" si="396"/>
        <v>21.3</v>
      </c>
      <c r="G1092" s="95">
        <f t="shared" ref="G1092:H1092" si="397">Average(G1082:G1091)</f>
        <v>0.27922</v>
      </c>
      <c r="H1092" s="96">
        <f t="shared" si="397"/>
        <v>0.26284</v>
      </c>
      <c r="I1092" s="97">
        <f t="shared" si="395"/>
        <v>0.27103</v>
      </c>
      <c r="J1092" s="99"/>
    </row>
    <row r="1094">
      <c r="A1094" s="43"/>
      <c r="B1094" s="43" t="s">
        <v>0</v>
      </c>
      <c r="C1094" s="44" t="s">
        <v>200</v>
      </c>
      <c r="D1094" s="43" t="s">
        <v>2</v>
      </c>
      <c r="E1094" s="43" t="str">
        <f>"Game on " &amp; MATCH(MAX(I1096:I1105), I1096:I1105, 0) + ROW(I1096) - 1 &amp; ". row"
</f>
        <v>Game on 1099. row</v>
      </c>
      <c r="F1094" s="43"/>
      <c r="G1094" s="43"/>
      <c r="H1094" s="43"/>
      <c r="I1094" s="45"/>
      <c r="J1094" s="43"/>
    </row>
    <row r="1095">
      <c r="A1095" s="44" t="s">
        <v>201</v>
      </c>
      <c r="B1095" s="46" t="s">
        <v>4</v>
      </c>
      <c r="C1095" s="46" t="s">
        <v>5</v>
      </c>
      <c r="D1095" s="46" t="s">
        <v>6</v>
      </c>
      <c r="E1095" s="46" t="s">
        <v>7</v>
      </c>
      <c r="F1095" s="46" t="s">
        <v>8</v>
      </c>
      <c r="G1095" s="46"/>
      <c r="H1095" s="46"/>
      <c r="I1095" s="47"/>
      <c r="J1095" s="46"/>
    </row>
    <row r="1096">
      <c r="A1096" s="48">
        <v>1.0</v>
      </c>
      <c r="B1096" s="1">
        <v>4.0</v>
      </c>
      <c r="C1096" s="1">
        <v>520.0</v>
      </c>
      <c r="D1096" s="1">
        <v>0.0</v>
      </c>
      <c r="E1096" s="1">
        <v>106.0</v>
      </c>
      <c r="F1096" s="1">
        <v>10.0</v>
      </c>
      <c r="G1096" s="51">
        <f t="shared" ref="G1096:G1105" si="398">(B1096*0.5 + C1096/100*0.2 + (51 - F1096)/5*0.3)/10</f>
        <v>0.55</v>
      </c>
      <c r="H1096" s="52">
        <f t="shared" ref="H1096:H1105" si="399">(D1096*0.5 + E1096/100*0.2 + (51 - F1096)/5*0.3)/10</f>
        <v>0.2672</v>
      </c>
      <c r="I1096" s="67">
        <f t="shared" ref="I1096:I1106" si="400">AVERAGE(G1096,H1096)</f>
        <v>0.4086</v>
      </c>
      <c r="J1096" s="99" t="s">
        <v>15</v>
      </c>
    </row>
    <row r="1097">
      <c r="A1097" s="48">
        <v>2.0</v>
      </c>
      <c r="B1097" s="1">
        <v>0.0</v>
      </c>
      <c r="C1097" s="1">
        <v>150.0</v>
      </c>
      <c r="D1097" s="1">
        <v>0.0</v>
      </c>
      <c r="E1097" s="1">
        <v>22.0</v>
      </c>
      <c r="F1097" s="1">
        <v>36.0</v>
      </c>
      <c r="G1097" s="51">
        <f t="shared" si="398"/>
        <v>0.12</v>
      </c>
      <c r="H1097" s="52">
        <f t="shared" si="399"/>
        <v>0.0944</v>
      </c>
      <c r="I1097" s="67">
        <f t="shared" si="400"/>
        <v>0.1072</v>
      </c>
      <c r="J1097" s="100">
        <f>B1106/10</f>
        <v>1.9</v>
      </c>
    </row>
    <row r="1098">
      <c r="A1098" s="48">
        <v>3.0</v>
      </c>
      <c r="B1098" s="1">
        <v>4.0</v>
      </c>
      <c r="C1098" s="1">
        <v>517.0</v>
      </c>
      <c r="D1098" s="1">
        <v>2.0</v>
      </c>
      <c r="E1098" s="1">
        <v>200.0</v>
      </c>
      <c r="F1098" s="1">
        <v>8.0</v>
      </c>
      <c r="G1098" s="51">
        <f t="shared" si="398"/>
        <v>0.5614</v>
      </c>
      <c r="H1098" s="52">
        <f t="shared" si="399"/>
        <v>0.398</v>
      </c>
      <c r="I1098" s="67">
        <f t="shared" si="400"/>
        <v>0.4797</v>
      </c>
      <c r="J1098" s="99" t="s">
        <v>19</v>
      </c>
    </row>
    <row r="1099">
      <c r="A1099" s="48">
        <v>4.0</v>
      </c>
      <c r="B1099" s="82">
        <v>4.0</v>
      </c>
      <c r="C1099" s="42">
        <v>500.0</v>
      </c>
      <c r="D1099" s="27">
        <v>2.0</v>
      </c>
      <c r="E1099" s="27">
        <v>175.0</v>
      </c>
      <c r="F1099" s="87">
        <v>4.0</v>
      </c>
      <c r="G1099" s="51">
        <f t="shared" si="398"/>
        <v>0.582</v>
      </c>
      <c r="H1099" s="52">
        <f t="shared" si="399"/>
        <v>0.417</v>
      </c>
      <c r="I1099" s="67">
        <f t="shared" si="400"/>
        <v>0.4995</v>
      </c>
      <c r="J1099" s="100">
        <f>D1106/10</f>
        <v>0.9</v>
      </c>
    </row>
    <row r="1100">
      <c r="A1100" s="48">
        <v>5.0</v>
      </c>
      <c r="B1100" s="1">
        <v>1.0</v>
      </c>
      <c r="C1100" s="1">
        <v>340.0</v>
      </c>
      <c r="D1100" s="1">
        <v>0.0</v>
      </c>
      <c r="E1100" s="1">
        <v>0.0</v>
      </c>
      <c r="F1100" s="1">
        <v>21.0</v>
      </c>
      <c r="G1100" s="51">
        <f t="shared" si="398"/>
        <v>0.298</v>
      </c>
      <c r="H1100" s="52">
        <f t="shared" si="399"/>
        <v>0.18</v>
      </c>
      <c r="I1100" s="67">
        <f t="shared" si="400"/>
        <v>0.239</v>
      </c>
      <c r="J1100" s="99" t="s">
        <v>23</v>
      </c>
    </row>
    <row r="1101">
      <c r="A1101" s="48">
        <v>6.0</v>
      </c>
      <c r="B1101" s="1">
        <v>0.0</v>
      </c>
      <c r="C1101" s="1">
        <v>37.0</v>
      </c>
      <c r="D1101" s="1">
        <v>0.0</v>
      </c>
      <c r="E1101" s="1">
        <v>52.0</v>
      </c>
      <c r="F1101" s="1">
        <v>32.0</v>
      </c>
      <c r="G1101" s="51">
        <f t="shared" si="398"/>
        <v>0.1214</v>
      </c>
      <c r="H1101" s="52">
        <f t="shared" si="399"/>
        <v>0.1244</v>
      </c>
      <c r="I1101" s="67">
        <f t="shared" si="400"/>
        <v>0.1229</v>
      </c>
      <c r="J1101" s="101">
        <f>J1097/J1099</f>
        <v>2.111111111</v>
      </c>
    </row>
    <row r="1102">
      <c r="A1102" s="48">
        <v>7.0</v>
      </c>
      <c r="B1102" s="1">
        <v>2.0</v>
      </c>
      <c r="C1102" s="1">
        <v>425.0</v>
      </c>
      <c r="D1102" s="1">
        <v>2.0</v>
      </c>
      <c r="E1102" s="1">
        <v>56.0</v>
      </c>
      <c r="F1102" s="1">
        <v>33.0</v>
      </c>
      <c r="G1102" s="51">
        <f t="shared" si="398"/>
        <v>0.293</v>
      </c>
      <c r="H1102" s="52">
        <f t="shared" si="399"/>
        <v>0.2192</v>
      </c>
      <c r="I1102" s="67">
        <f t="shared" si="400"/>
        <v>0.2561</v>
      </c>
      <c r="J1102" s="99" t="s">
        <v>27</v>
      </c>
    </row>
    <row r="1103">
      <c r="A1103" s="48">
        <v>8.0</v>
      </c>
      <c r="B1103" s="1">
        <v>2.0</v>
      </c>
      <c r="C1103" s="1">
        <v>296.0</v>
      </c>
      <c r="D1103" s="1">
        <v>3.0</v>
      </c>
      <c r="E1103" s="1">
        <v>278.0</v>
      </c>
      <c r="F1103" s="1">
        <v>6.0</v>
      </c>
      <c r="G1103" s="51">
        <f t="shared" si="398"/>
        <v>0.4292</v>
      </c>
      <c r="H1103" s="52">
        <f t="shared" si="399"/>
        <v>0.4756</v>
      </c>
      <c r="I1103" s="67">
        <f t="shared" si="400"/>
        <v>0.4524</v>
      </c>
      <c r="J1103" s="101">
        <f>J1099/J1097</f>
        <v>0.4736842105</v>
      </c>
    </row>
    <row r="1104">
      <c r="A1104" s="48">
        <v>9.0</v>
      </c>
      <c r="B1104" s="1">
        <v>0.0</v>
      </c>
      <c r="C1104" s="1">
        <v>149.0</v>
      </c>
      <c r="D1104" s="1">
        <v>0.0</v>
      </c>
      <c r="E1104" s="1">
        <v>162.0</v>
      </c>
      <c r="F1104" s="1">
        <v>25.0</v>
      </c>
      <c r="G1104" s="51">
        <f t="shared" si="398"/>
        <v>0.1858</v>
      </c>
      <c r="H1104" s="52">
        <f t="shared" si="399"/>
        <v>0.1884</v>
      </c>
      <c r="I1104" s="67">
        <f t="shared" si="400"/>
        <v>0.1871</v>
      </c>
      <c r="J1104" s="99"/>
    </row>
    <row r="1105">
      <c r="A1105" s="48">
        <v>10.0</v>
      </c>
      <c r="B1105" s="1">
        <v>2.0</v>
      </c>
      <c r="C1105" s="1">
        <v>226.0</v>
      </c>
      <c r="D1105" s="1">
        <v>0.0</v>
      </c>
      <c r="E1105" s="1">
        <v>0.0</v>
      </c>
      <c r="F1105" s="1">
        <v>6.0</v>
      </c>
      <c r="G1105" s="51">
        <f t="shared" si="398"/>
        <v>0.4152</v>
      </c>
      <c r="H1105" s="52">
        <f t="shared" si="399"/>
        <v>0.27</v>
      </c>
      <c r="I1105" s="67">
        <f t="shared" si="400"/>
        <v>0.3426</v>
      </c>
      <c r="J1105" s="46"/>
    </row>
    <row r="1106">
      <c r="A1106" s="43" t="s">
        <v>33</v>
      </c>
      <c r="B1106" s="92">
        <f>SUM(B1096:B1105)</f>
        <v>19</v>
      </c>
      <c r="C1106" s="93">
        <f>AVERAGE(C1096:C1105)</f>
        <v>316</v>
      </c>
      <c r="D1106" s="93">
        <f>SUM(D1096:D1105)</f>
        <v>9</v>
      </c>
      <c r="E1106" s="93">
        <f t="shared" ref="E1106:F1106" si="401">AVERAGE(E1096:E1105)</f>
        <v>105.1</v>
      </c>
      <c r="F1106" s="94">
        <f t="shared" si="401"/>
        <v>18.1</v>
      </c>
      <c r="G1106" s="95">
        <f t="shared" ref="G1106:H1106" si="402">Average(G1096:G1105)</f>
        <v>0.3556</v>
      </c>
      <c r="H1106" s="96">
        <f t="shared" si="402"/>
        <v>0.26342</v>
      </c>
      <c r="I1106" s="97">
        <f t="shared" si="400"/>
        <v>0.30951</v>
      </c>
      <c r="J1106" s="99"/>
    </row>
    <row r="1108">
      <c r="A1108" s="43"/>
      <c r="B1108" s="43" t="s">
        <v>0</v>
      </c>
      <c r="C1108" s="44" t="s">
        <v>202</v>
      </c>
      <c r="D1108" s="43" t="s">
        <v>2</v>
      </c>
      <c r="E1108" s="43" t="str">
        <f>"Game on " &amp; MATCH(MAX(I1110:I1119), I1110:I1119, 0) + ROW(I1110) - 1 &amp; ". row"
</f>
        <v>Game on 1117. row</v>
      </c>
      <c r="F1108" s="43"/>
      <c r="G1108" s="43"/>
      <c r="H1108" s="43"/>
      <c r="I1108" s="45"/>
      <c r="J1108" s="43"/>
    </row>
    <row r="1109">
      <c r="A1109" s="44" t="s">
        <v>203</v>
      </c>
      <c r="B1109" s="46" t="s">
        <v>4</v>
      </c>
      <c r="C1109" s="46" t="s">
        <v>5</v>
      </c>
      <c r="D1109" s="46" t="s">
        <v>6</v>
      </c>
      <c r="E1109" s="46" t="s">
        <v>7</v>
      </c>
      <c r="F1109" s="46" t="s">
        <v>8</v>
      </c>
      <c r="G1109" s="46"/>
      <c r="H1109" s="46"/>
      <c r="I1109" s="47"/>
      <c r="J1109" s="46"/>
    </row>
    <row r="1110">
      <c r="A1110" s="48">
        <v>1.0</v>
      </c>
      <c r="B1110" s="1">
        <v>2.0</v>
      </c>
      <c r="C1110" s="1">
        <v>138.0</v>
      </c>
      <c r="D1110" s="1">
        <v>1.0</v>
      </c>
      <c r="E1110" s="1">
        <v>190.0</v>
      </c>
      <c r="F1110" s="1">
        <v>23.0</v>
      </c>
      <c r="G1110" s="51">
        <f t="shared" ref="G1110:G1119" si="403">(B1110*0.5 + C1110/100*0.2 + (51 - F1110)/5*0.3)/10</f>
        <v>0.2956</v>
      </c>
      <c r="H1110" s="52">
        <f t="shared" ref="H1110:H1119" si="404">(D1110*0.5 + E1110/100*0.2 + (51 - F1110)/5*0.3)/10</f>
        <v>0.256</v>
      </c>
      <c r="I1110" s="67">
        <f t="shared" ref="I1110:I1120" si="405">AVERAGE(G1110,H1110)</f>
        <v>0.2758</v>
      </c>
      <c r="J1110" s="99" t="s">
        <v>15</v>
      </c>
    </row>
    <row r="1111">
      <c r="A1111" s="48">
        <v>2.0</v>
      </c>
      <c r="B1111" s="1">
        <v>5.0</v>
      </c>
      <c r="C1111" s="1">
        <v>589.0</v>
      </c>
      <c r="D1111" s="1">
        <v>0.0</v>
      </c>
      <c r="E1111" s="1">
        <v>22.0</v>
      </c>
      <c r="F1111" s="1">
        <v>18.0</v>
      </c>
      <c r="G1111" s="51">
        <f t="shared" si="403"/>
        <v>0.5658</v>
      </c>
      <c r="H1111" s="52">
        <f t="shared" si="404"/>
        <v>0.2024</v>
      </c>
      <c r="I1111" s="67">
        <f t="shared" si="405"/>
        <v>0.3841</v>
      </c>
      <c r="J1111" s="100">
        <f>B1120/10</f>
        <v>2.1</v>
      </c>
    </row>
    <row r="1112">
      <c r="A1112" s="48">
        <v>3.0</v>
      </c>
      <c r="B1112" s="1">
        <v>1.0</v>
      </c>
      <c r="C1112" s="1">
        <v>347.0</v>
      </c>
      <c r="D1112" s="1">
        <v>2.0</v>
      </c>
      <c r="E1112" s="1">
        <v>300.0</v>
      </c>
      <c r="F1112" s="1">
        <v>4.0</v>
      </c>
      <c r="G1112" s="51">
        <f t="shared" si="403"/>
        <v>0.4014</v>
      </c>
      <c r="H1112" s="52">
        <f t="shared" si="404"/>
        <v>0.442</v>
      </c>
      <c r="I1112" s="67">
        <f t="shared" si="405"/>
        <v>0.4217</v>
      </c>
      <c r="J1112" s="99" t="s">
        <v>19</v>
      </c>
    </row>
    <row r="1113">
      <c r="A1113" s="48">
        <v>4.0</v>
      </c>
      <c r="B1113" s="82">
        <v>3.0</v>
      </c>
      <c r="C1113" s="42">
        <v>390.0</v>
      </c>
      <c r="D1113" s="27">
        <v>0.0</v>
      </c>
      <c r="E1113" s="27">
        <v>0.0</v>
      </c>
      <c r="F1113" s="87">
        <v>21.0</v>
      </c>
      <c r="G1113" s="51">
        <f t="shared" si="403"/>
        <v>0.408</v>
      </c>
      <c r="H1113" s="52">
        <f t="shared" si="404"/>
        <v>0.18</v>
      </c>
      <c r="I1113" s="67">
        <f t="shared" si="405"/>
        <v>0.294</v>
      </c>
      <c r="J1113" s="100">
        <f>D1120/10</f>
        <v>0.5</v>
      </c>
    </row>
    <row r="1114">
      <c r="A1114" s="48">
        <v>5.0</v>
      </c>
      <c r="B1114" s="1">
        <v>1.0</v>
      </c>
      <c r="C1114" s="1">
        <v>210.0</v>
      </c>
      <c r="D1114" s="1">
        <v>0.0</v>
      </c>
      <c r="E1114" s="1">
        <v>147.0</v>
      </c>
      <c r="F1114" s="1">
        <v>16.0</v>
      </c>
      <c r="G1114" s="51">
        <f t="shared" si="403"/>
        <v>0.302</v>
      </c>
      <c r="H1114" s="52">
        <f t="shared" si="404"/>
        <v>0.2394</v>
      </c>
      <c r="I1114" s="67">
        <f t="shared" si="405"/>
        <v>0.2707</v>
      </c>
      <c r="J1114" s="99" t="s">
        <v>23</v>
      </c>
    </row>
    <row r="1115">
      <c r="A1115" s="48">
        <v>6.0</v>
      </c>
      <c r="B1115" s="1">
        <v>2.0</v>
      </c>
      <c r="C1115" s="1">
        <v>143.0</v>
      </c>
      <c r="D1115" s="1">
        <v>0.0</v>
      </c>
      <c r="E1115" s="1">
        <v>0.0</v>
      </c>
      <c r="F1115" s="1">
        <v>17.0</v>
      </c>
      <c r="G1115" s="51">
        <f t="shared" si="403"/>
        <v>0.3326</v>
      </c>
      <c r="H1115" s="52">
        <f t="shared" si="404"/>
        <v>0.204</v>
      </c>
      <c r="I1115" s="67">
        <f t="shared" si="405"/>
        <v>0.2683</v>
      </c>
      <c r="J1115" s="101">
        <f>J1111/J1113</f>
        <v>4.2</v>
      </c>
    </row>
    <row r="1116">
      <c r="A1116" s="48">
        <v>7.0</v>
      </c>
      <c r="B1116" s="1">
        <v>1.0</v>
      </c>
      <c r="C1116" s="1">
        <v>175.0</v>
      </c>
      <c r="D1116" s="1">
        <v>1.0</v>
      </c>
      <c r="E1116" s="1">
        <v>242.0</v>
      </c>
      <c r="F1116" s="1">
        <v>24.0</v>
      </c>
      <c r="G1116" s="51">
        <f t="shared" si="403"/>
        <v>0.247</v>
      </c>
      <c r="H1116" s="52">
        <f t="shared" si="404"/>
        <v>0.2604</v>
      </c>
      <c r="I1116" s="67">
        <f t="shared" si="405"/>
        <v>0.2537</v>
      </c>
      <c r="J1116" s="99" t="s">
        <v>27</v>
      </c>
    </row>
    <row r="1117">
      <c r="A1117" s="48">
        <v>8.0</v>
      </c>
      <c r="B1117" s="1">
        <v>6.0</v>
      </c>
      <c r="C1117" s="1">
        <v>754.0</v>
      </c>
      <c r="D1117" s="1">
        <v>0.0</v>
      </c>
      <c r="E1117" s="1">
        <v>191.0</v>
      </c>
      <c r="F1117" s="1">
        <v>1.0</v>
      </c>
      <c r="G1117" s="51">
        <f t="shared" si="403"/>
        <v>0.7508</v>
      </c>
      <c r="H1117" s="52">
        <f t="shared" si="404"/>
        <v>0.3382</v>
      </c>
      <c r="I1117" s="67">
        <f t="shared" si="405"/>
        <v>0.5445</v>
      </c>
      <c r="J1117" s="101">
        <f>J1113/J1111</f>
        <v>0.2380952381</v>
      </c>
    </row>
    <row r="1118">
      <c r="A1118" s="48">
        <v>9.0</v>
      </c>
      <c r="B1118" s="1">
        <v>0.0</v>
      </c>
      <c r="C1118" s="1">
        <v>41.0</v>
      </c>
      <c r="D1118" s="1">
        <v>0.0</v>
      </c>
      <c r="E1118" s="1">
        <v>70.0</v>
      </c>
      <c r="F1118" s="1">
        <v>44.0</v>
      </c>
      <c r="G1118" s="51">
        <f t="shared" si="403"/>
        <v>0.0502</v>
      </c>
      <c r="H1118" s="52">
        <f t="shared" si="404"/>
        <v>0.056</v>
      </c>
      <c r="I1118" s="67">
        <f t="shared" si="405"/>
        <v>0.0531</v>
      </c>
      <c r="J1118" s="99"/>
    </row>
    <row r="1119">
      <c r="A1119" s="48">
        <v>10.0</v>
      </c>
      <c r="B1119" s="1">
        <v>0.0</v>
      </c>
      <c r="C1119" s="1">
        <v>0.0</v>
      </c>
      <c r="D1119" s="1">
        <v>1.0</v>
      </c>
      <c r="E1119" s="1">
        <v>202.0</v>
      </c>
      <c r="F1119" s="1">
        <v>27.0</v>
      </c>
      <c r="G1119" s="51">
        <f t="shared" si="403"/>
        <v>0.144</v>
      </c>
      <c r="H1119" s="52">
        <f t="shared" si="404"/>
        <v>0.2344</v>
      </c>
      <c r="I1119" s="67">
        <f t="shared" si="405"/>
        <v>0.1892</v>
      </c>
      <c r="J1119" s="46"/>
    </row>
    <row r="1120">
      <c r="A1120" s="43" t="s">
        <v>33</v>
      </c>
      <c r="B1120" s="92">
        <f>SUM(B1110:B1119)</f>
        <v>21</v>
      </c>
      <c r="C1120" s="93">
        <f>AVERAGE(C1110:C1119)</f>
        <v>278.7</v>
      </c>
      <c r="D1120" s="93">
        <f>SUM(D1110:D1119)</f>
        <v>5</v>
      </c>
      <c r="E1120" s="93">
        <f t="shared" ref="E1120:F1120" si="406">AVERAGE(E1110:E1119)</f>
        <v>136.4</v>
      </c>
      <c r="F1120" s="94">
        <f t="shared" si="406"/>
        <v>19.5</v>
      </c>
      <c r="G1120" s="95">
        <f t="shared" ref="G1120:H1120" si="407">Average(G1110:G1119)</f>
        <v>0.34974</v>
      </c>
      <c r="H1120" s="96">
        <f t="shared" si="407"/>
        <v>0.24128</v>
      </c>
      <c r="I1120" s="97">
        <f t="shared" si="405"/>
        <v>0.29551</v>
      </c>
      <c r="J1120" s="99"/>
    </row>
    <row r="1122">
      <c r="A1122" s="43"/>
      <c r="B1122" s="43" t="s">
        <v>0</v>
      </c>
      <c r="C1122" s="44" t="s">
        <v>204</v>
      </c>
      <c r="D1122" s="43" t="s">
        <v>2</v>
      </c>
      <c r="E1122" s="43" t="str">
        <f>"Game on " &amp; MATCH(MAX(I1124:I1133), I1124:I1133, 0) + ROW(I1124) - 1 &amp; ". row"
</f>
        <v>Game on 1129. row</v>
      </c>
      <c r="F1122" s="43"/>
      <c r="G1122" s="43"/>
      <c r="H1122" s="43"/>
      <c r="I1122" s="45"/>
      <c r="J1122" s="43"/>
    </row>
    <row r="1123">
      <c r="A1123" s="44" t="s">
        <v>205</v>
      </c>
      <c r="B1123" s="46" t="s">
        <v>4</v>
      </c>
      <c r="C1123" s="46" t="s">
        <v>5</v>
      </c>
      <c r="D1123" s="46" t="s">
        <v>6</v>
      </c>
      <c r="E1123" s="46" t="s">
        <v>7</v>
      </c>
      <c r="F1123" s="46" t="s">
        <v>8</v>
      </c>
      <c r="G1123" s="46"/>
      <c r="H1123" s="46"/>
      <c r="I1123" s="47"/>
      <c r="J1123" s="46"/>
    </row>
    <row r="1124">
      <c r="A1124" s="48">
        <v>1.0</v>
      </c>
      <c r="B1124" s="1">
        <v>0.0</v>
      </c>
      <c r="C1124" s="1">
        <v>103.0</v>
      </c>
      <c r="D1124" s="1">
        <v>0.0</v>
      </c>
      <c r="E1124" s="1">
        <v>0.0</v>
      </c>
      <c r="F1124" s="1">
        <v>23.0</v>
      </c>
      <c r="G1124" s="51">
        <f t="shared" ref="G1124:G1133" si="408">(B1124*0.5 + C1124/100*0.2 + (51 - F1124)/5*0.3)/10</f>
        <v>0.1886</v>
      </c>
      <c r="H1124" s="52">
        <f t="shared" ref="H1124:H1133" si="409">(D1124*0.5 + E1124/100*0.2 + (51 - F1124)/5*0.3)/10</f>
        <v>0.168</v>
      </c>
      <c r="I1124" s="67">
        <f t="shared" ref="I1124:I1134" si="410">AVERAGE(G1124,H1124)</f>
        <v>0.1783</v>
      </c>
      <c r="J1124" s="99" t="s">
        <v>15</v>
      </c>
    </row>
    <row r="1125">
      <c r="A1125" s="48">
        <v>2.0</v>
      </c>
      <c r="B1125" s="1">
        <v>0.0</v>
      </c>
      <c r="C1125" s="1">
        <v>86.0</v>
      </c>
      <c r="D1125" s="1">
        <v>2.0</v>
      </c>
      <c r="E1125" s="1">
        <v>109.0</v>
      </c>
      <c r="F1125" s="1">
        <v>30.0</v>
      </c>
      <c r="G1125" s="51">
        <f t="shared" si="408"/>
        <v>0.1432</v>
      </c>
      <c r="H1125" s="52">
        <f t="shared" si="409"/>
        <v>0.2478</v>
      </c>
      <c r="I1125" s="67">
        <f t="shared" si="410"/>
        <v>0.1955</v>
      </c>
      <c r="J1125" s="100">
        <f>B1134/10</f>
        <v>1</v>
      </c>
    </row>
    <row r="1126">
      <c r="A1126" s="48">
        <v>3.0</v>
      </c>
      <c r="B1126" s="1">
        <v>0.0</v>
      </c>
      <c r="C1126" s="1">
        <v>79.0</v>
      </c>
      <c r="D1126" s="1">
        <v>0.0</v>
      </c>
      <c r="E1126" s="1">
        <v>0.0</v>
      </c>
      <c r="F1126" s="1">
        <v>26.0</v>
      </c>
      <c r="G1126" s="51">
        <f t="shared" si="408"/>
        <v>0.1658</v>
      </c>
      <c r="H1126" s="52">
        <f t="shared" si="409"/>
        <v>0.15</v>
      </c>
      <c r="I1126" s="67">
        <f t="shared" si="410"/>
        <v>0.1579</v>
      </c>
      <c r="J1126" s="99" t="s">
        <v>19</v>
      </c>
    </row>
    <row r="1127">
      <c r="A1127" s="48">
        <v>4.0</v>
      </c>
      <c r="B1127" s="82">
        <v>0.0</v>
      </c>
      <c r="C1127" s="42">
        <v>188.0</v>
      </c>
      <c r="D1127" s="27">
        <v>0.0</v>
      </c>
      <c r="E1127" s="27">
        <v>100.0</v>
      </c>
      <c r="F1127" s="87">
        <v>16.0</v>
      </c>
      <c r="G1127" s="51">
        <f t="shared" si="408"/>
        <v>0.2476</v>
      </c>
      <c r="H1127" s="52">
        <f t="shared" si="409"/>
        <v>0.23</v>
      </c>
      <c r="I1127" s="67">
        <f t="shared" si="410"/>
        <v>0.2388</v>
      </c>
      <c r="J1127" s="100">
        <f>D1134/10</f>
        <v>0.7</v>
      </c>
    </row>
    <row r="1128">
      <c r="A1128" s="48">
        <v>5.0</v>
      </c>
      <c r="B1128" s="1">
        <v>1.0</v>
      </c>
      <c r="C1128" s="1">
        <v>75.0</v>
      </c>
      <c r="D1128" s="1">
        <v>0.0</v>
      </c>
      <c r="E1128" s="1">
        <v>67.0</v>
      </c>
      <c r="F1128" s="1">
        <v>34.0</v>
      </c>
      <c r="G1128" s="51">
        <f t="shared" si="408"/>
        <v>0.167</v>
      </c>
      <c r="H1128" s="52">
        <f t="shared" si="409"/>
        <v>0.1154</v>
      </c>
      <c r="I1128" s="67">
        <f t="shared" si="410"/>
        <v>0.1412</v>
      </c>
      <c r="J1128" s="99" t="s">
        <v>23</v>
      </c>
    </row>
    <row r="1129">
      <c r="A1129" s="48">
        <v>6.0</v>
      </c>
      <c r="B1129" s="1">
        <v>4.0</v>
      </c>
      <c r="C1129" s="1">
        <v>413.0</v>
      </c>
      <c r="D1129" s="1">
        <v>2.0</v>
      </c>
      <c r="E1129" s="1">
        <v>176.0</v>
      </c>
      <c r="F1129" s="1">
        <v>1.0</v>
      </c>
      <c r="G1129" s="51">
        <f t="shared" si="408"/>
        <v>0.5826</v>
      </c>
      <c r="H1129" s="52">
        <f t="shared" si="409"/>
        <v>0.4352</v>
      </c>
      <c r="I1129" s="67">
        <f t="shared" si="410"/>
        <v>0.5089</v>
      </c>
      <c r="J1129" s="101">
        <f>J1125/J1127</f>
        <v>1.428571429</v>
      </c>
    </row>
    <row r="1130">
      <c r="A1130" s="48">
        <v>7.0</v>
      </c>
      <c r="B1130" s="1">
        <v>3.0</v>
      </c>
      <c r="C1130" s="1">
        <v>456.0</v>
      </c>
      <c r="D1130" s="1">
        <v>1.0</v>
      </c>
      <c r="E1130" s="1">
        <v>69.0</v>
      </c>
      <c r="F1130" s="1">
        <v>7.0</v>
      </c>
      <c r="G1130" s="51">
        <f t="shared" si="408"/>
        <v>0.5052</v>
      </c>
      <c r="H1130" s="52">
        <f t="shared" si="409"/>
        <v>0.3278</v>
      </c>
      <c r="I1130" s="67">
        <f t="shared" si="410"/>
        <v>0.4165</v>
      </c>
      <c r="J1130" s="99" t="s">
        <v>27</v>
      </c>
    </row>
    <row r="1131">
      <c r="A1131" s="48">
        <v>8.0</v>
      </c>
      <c r="B1131" s="1">
        <v>1.0</v>
      </c>
      <c r="C1131" s="1">
        <v>100.0</v>
      </c>
      <c r="D1131" s="1">
        <v>1.0</v>
      </c>
      <c r="E1131" s="1">
        <v>125.0</v>
      </c>
      <c r="F1131" s="1">
        <v>16.0</v>
      </c>
      <c r="G1131" s="51">
        <f t="shared" si="408"/>
        <v>0.28</v>
      </c>
      <c r="H1131" s="52">
        <f t="shared" si="409"/>
        <v>0.285</v>
      </c>
      <c r="I1131" s="67">
        <f t="shared" si="410"/>
        <v>0.2825</v>
      </c>
      <c r="J1131" s="101">
        <f>J1127/J1125</f>
        <v>0.7</v>
      </c>
    </row>
    <row r="1132">
      <c r="A1132" s="48">
        <v>9.0</v>
      </c>
      <c r="B1132" s="1">
        <v>1.0</v>
      </c>
      <c r="C1132" s="1">
        <v>184.0</v>
      </c>
      <c r="D1132" s="1">
        <v>1.0</v>
      </c>
      <c r="E1132" s="1">
        <v>112.0</v>
      </c>
      <c r="F1132" s="1">
        <v>26.0</v>
      </c>
      <c r="G1132" s="51">
        <f t="shared" si="408"/>
        <v>0.2368</v>
      </c>
      <c r="H1132" s="52">
        <f t="shared" si="409"/>
        <v>0.2224</v>
      </c>
      <c r="I1132" s="67">
        <f t="shared" si="410"/>
        <v>0.2296</v>
      </c>
      <c r="J1132" s="99"/>
    </row>
    <row r="1133">
      <c r="A1133" s="48">
        <v>10.0</v>
      </c>
      <c r="B1133" s="1">
        <v>0.0</v>
      </c>
      <c r="C1133" s="1">
        <v>44.0</v>
      </c>
      <c r="D1133" s="1">
        <v>0.0</v>
      </c>
      <c r="E1133" s="1">
        <v>14.0</v>
      </c>
      <c r="F1133" s="1">
        <v>25.0</v>
      </c>
      <c r="G1133" s="51">
        <f t="shared" si="408"/>
        <v>0.1648</v>
      </c>
      <c r="H1133" s="52">
        <f t="shared" si="409"/>
        <v>0.1588</v>
      </c>
      <c r="I1133" s="67">
        <f t="shared" si="410"/>
        <v>0.1618</v>
      </c>
      <c r="J1133" s="46"/>
    </row>
    <row r="1134">
      <c r="A1134" s="43" t="s">
        <v>33</v>
      </c>
      <c r="B1134" s="92">
        <f>SUM(B1124:B1133)</f>
        <v>10</v>
      </c>
      <c r="C1134" s="93">
        <f>AVERAGE(C1124:C1133)</f>
        <v>172.8</v>
      </c>
      <c r="D1134" s="93">
        <f>SUM(D1124:D1133)</f>
        <v>7</v>
      </c>
      <c r="E1134" s="93">
        <f t="shared" ref="E1134:F1134" si="411">AVERAGE(E1124:E1133)</f>
        <v>77.2</v>
      </c>
      <c r="F1134" s="94">
        <f t="shared" si="411"/>
        <v>20.4</v>
      </c>
      <c r="G1134" s="95">
        <f t="shared" ref="G1134:H1134" si="412">Average(G1124:G1133)</f>
        <v>0.26816</v>
      </c>
      <c r="H1134" s="96">
        <f t="shared" si="412"/>
        <v>0.23404</v>
      </c>
      <c r="I1134" s="97">
        <f t="shared" si="410"/>
        <v>0.2511</v>
      </c>
      <c r="J1134" s="99"/>
    </row>
    <row r="1136">
      <c r="A1136" s="43"/>
      <c r="B1136" s="43" t="s">
        <v>0</v>
      </c>
      <c r="C1136" s="44" t="s">
        <v>206</v>
      </c>
      <c r="D1136" s="43" t="s">
        <v>2</v>
      </c>
      <c r="E1136" s="43" t="str">
        <f>"Game on " &amp; MATCH(MAX(I1138:I1147), I1138:I1147, 0) + ROW(I1138) - 1 &amp; ". row"
</f>
        <v>Game on 1140. row</v>
      </c>
      <c r="F1136" s="43"/>
      <c r="G1136" s="43"/>
      <c r="H1136" s="43"/>
      <c r="I1136" s="45"/>
      <c r="J1136" s="43"/>
    </row>
    <row r="1137">
      <c r="A1137" s="44" t="s">
        <v>207</v>
      </c>
      <c r="B1137" s="46" t="s">
        <v>4</v>
      </c>
      <c r="C1137" s="46" t="s">
        <v>5</v>
      </c>
      <c r="D1137" s="46" t="s">
        <v>6</v>
      </c>
      <c r="E1137" s="46" t="s">
        <v>7</v>
      </c>
      <c r="F1137" s="46" t="s">
        <v>8</v>
      </c>
      <c r="G1137" s="46"/>
      <c r="H1137" s="46"/>
      <c r="I1137" s="47"/>
      <c r="J1137" s="46"/>
      <c r="K1137" s="102"/>
      <c r="L1137" s="102"/>
      <c r="M1137" s="102"/>
      <c r="N1137" s="102"/>
      <c r="O1137" s="102"/>
    </row>
    <row r="1138">
      <c r="A1138" s="48">
        <v>1.0</v>
      </c>
      <c r="B1138" s="1">
        <v>0.0</v>
      </c>
      <c r="C1138" s="1">
        <v>0.0</v>
      </c>
      <c r="D1138" s="1">
        <v>0.0</v>
      </c>
      <c r="E1138" s="1">
        <v>0.0</v>
      </c>
      <c r="F1138" s="1">
        <v>23.0</v>
      </c>
      <c r="G1138" s="51">
        <f t="shared" ref="G1138:G1147" si="413">(B1138*0.5 + C1138/100*0.2 + (51 - F1138)/5*0.3)/10</f>
        <v>0.168</v>
      </c>
      <c r="H1138" s="52">
        <f t="shared" ref="H1138:H1147" si="414">(D1138*0.5 + E1138/100*0.2 + (51 - F1138)/5*0.3)/10</f>
        <v>0.168</v>
      </c>
      <c r="I1138" s="67">
        <f t="shared" ref="I1138:I1148" si="415">AVERAGE(G1138,H1138)</f>
        <v>0.168</v>
      </c>
      <c r="J1138" s="99" t="s">
        <v>15</v>
      </c>
      <c r="K1138" s="103"/>
      <c r="L1138" s="103"/>
      <c r="M1138" s="103"/>
      <c r="N1138" s="103"/>
      <c r="O1138" s="103"/>
    </row>
    <row r="1139">
      <c r="A1139" s="48">
        <v>2.0</v>
      </c>
      <c r="B1139" s="1">
        <v>0.0</v>
      </c>
      <c r="C1139" s="1">
        <v>68.0</v>
      </c>
      <c r="D1139" s="1">
        <v>0.0</v>
      </c>
      <c r="E1139" s="1">
        <v>0.0</v>
      </c>
      <c r="F1139" s="1">
        <v>34.0</v>
      </c>
      <c r="G1139" s="51">
        <f t="shared" si="413"/>
        <v>0.1156</v>
      </c>
      <c r="H1139" s="52">
        <f t="shared" si="414"/>
        <v>0.102</v>
      </c>
      <c r="I1139" s="67">
        <f t="shared" si="415"/>
        <v>0.1088</v>
      </c>
      <c r="J1139" s="100">
        <f>B1148/10</f>
        <v>0.7</v>
      </c>
    </row>
    <row r="1140">
      <c r="A1140" s="48">
        <v>3.0</v>
      </c>
      <c r="B1140" s="1">
        <v>0.0</v>
      </c>
      <c r="C1140" s="1">
        <v>278.0</v>
      </c>
      <c r="D1140" s="1">
        <v>2.0</v>
      </c>
      <c r="E1140" s="1">
        <v>362.0</v>
      </c>
      <c r="F1140" s="1">
        <v>11.0</v>
      </c>
      <c r="G1140" s="51">
        <f t="shared" si="413"/>
        <v>0.2956</v>
      </c>
      <c r="H1140" s="52">
        <f t="shared" si="414"/>
        <v>0.4124</v>
      </c>
      <c r="I1140" s="67">
        <f t="shared" si="415"/>
        <v>0.354</v>
      </c>
      <c r="J1140" s="99" t="s">
        <v>19</v>
      </c>
    </row>
    <row r="1141">
      <c r="A1141" s="48">
        <v>4.0</v>
      </c>
      <c r="B1141" s="82">
        <v>0.0</v>
      </c>
      <c r="C1141" s="42">
        <v>58.0</v>
      </c>
      <c r="D1141" s="27">
        <v>0.0</v>
      </c>
      <c r="E1141" s="27">
        <v>0.0</v>
      </c>
      <c r="F1141" s="87">
        <v>31.0</v>
      </c>
      <c r="G1141" s="51">
        <f t="shared" si="413"/>
        <v>0.1316</v>
      </c>
      <c r="H1141" s="52">
        <f t="shared" si="414"/>
        <v>0.12</v>
      </c>
      <c r="I1141" s="67">
        <f t="shared" si="415"/>
        <v>0.1258</v>
      </c>
      <c r="J1141" s="100">
        <f>D1148/10</f>
        <v>0.4</v>
      </c>
    </row>
    <row r="1142">
      <c r="A1142" s="48">
        <v>5.0</v>
      </c>
      <c r="B1142" s="1">
        <v>1.0</v>
      </c>
      <c r="C1142" s="1">
        <v>159.0</v>
      </c>
      <c r="D1142" s="1">
        <v>0.0</v>
      </c>
      <c r="E1142" s="1">
        <v>29.0</v>
      </c>
      <c r="F1142" s="1">
        <v>21.0</v>
      </c>
      <c r="G1142" s="51">
        <f t="shared" si="413"/>
        <v>0.2618</v>
      </c>
      <c r="H1142" s="52">
        <f t="shared" si="414"/>
        <v>0.1858</v>
      </c>
      <c r="I1142" s="67">
        <f t="shared" si="415"/>
        <v>0.2238</v>
      </c>
      <c r="J1142" s="99" t="s">
        <v>23</v>
      </c>
    </row>
    <row r="1143">
      <c r="A1143" s="48">
        <v>6.0</v>
      </c>
      <c r="B1143" s="1">
        <v>3.0</v>
      </c>
      <c r="C1143" s="1">
        <v>228.0</v>
      </c>
      <c r="D1143" s="1">
        <v>1.0</v>
      </c>
      <c r="E1143" s="1">
        <v>121.0</v>
      </c>
      <c r="F1143" s="1">
        <v>18.0</v>
      </c>
      <c r="G1143" s="51">
        <f t="shared" si="413"/>
        <v>0.3936</v>
      </c>
      <c r="H1143" s="52">
        <f t="shared" si="414"/>
        <v>0.2722</v>
      </c>
      <c r="I1143" s="67">
        <f t="shared" si="415"/>
        <v>0.3329</v>
      </c>
      <c r="J1143" s="101">
        <f>J1139/J1141</f>
        <v>1.75</v>
      </c>
    </row>
    <row r="1144">
      <c r="A1144" s="48">
        <v>7.0</v>
      </c>
      <c r="B1144" s="1">
        <v>2.0</v>
      </c>
      <c r="C1144" s="1">
        <v>113.0</v>
      </c>
      <c r="D1144" s="1">
        <v>0.0</v>
      </c>
      <c r="E1144" s="1">
        <v>0.0</v>
      </c>
      <c r="F1144" s="1">
        <v>29.0</v>
      </c>
      <c r="G1144" s="51">
        <f t="shared" si="413"/>
        <v>0.2546</v>
      </c>
      <c r="H1144" s="52">
        <f t="shared" si="414"/>
        <v>0.132</v>
      </c>
      <c r="I1144" s="67">
        <f t="shared" si="415"/>
        <v>0.1933</v>
      </c>
      <c r="J1144" s="99" t="s">
        <v>27</v>
      </c>
    </row>
    <row r="1145">
      <c r="A1145" s="48">
        <v>8.0</v>
      </c>
      <c r="B1145" s="1">
        <v>0.0</v>
      </c>
      <c r="C1145" s="1">
        <v>191.0</v>
      </c>
      <c r="D1145" s="1">
        <v>1.0</v>
      </c>
      <c r="E1145" s="1">
        <v>79.0</v>
      </c>
      <c r="F1145" s="1">
        <v>22.0</v>
      </c>
      <c r="G1145" s="51">
        <f t="shared" si="413"/>
        <v>0.2122</v>
      </c>
      <c r="H1145" s="52">
        <f t="shared" si="414"/>
        <v>0.2398</v>
      </c>
      <c r="I1145" s="67">
        <f t="shared" si="415"/>
        <v>0.226</v>
      </c>
      <c r="J1145" s="101">
        <f>J1141/J1139</f>
        <v>0.5714285714</v>
      </c>
    </row>
    <row r="1146">
      <c r="A1146" s="48">
        <v>9.0</v>
      </c>
      <c r="B1146" s="1">
        <v>1.0</v>
      </c>
      <c r="C1146" s="1">
        <v>195.0</v>
      </c>
      <c r="D1146" s="1">
        <v>0.0</v>
      </c>
      <c r="E1146" s="1">
        <v>0.0</v>
      </c>
      <c r="F1146" s="1">
        <v>29.0</v>
      </c>
      <c r="G1146" s="51">
        <f t="shared" si="413"/>
        <v>0.221</v>
      </c>
      <c r="H1146" s="52">
        <f t="shared" si="414"/>
        <v>0.132</v>
      </c>
      <c r="I1146" s="67">
        <f t="shared" si="415"/>
        <v>0.1765</v>
      </c>
      <c r="J1146" s="99"/>
    </row>
    <row r="1147">
      <c r="A1147" s="48">
        <v>10.0</v>
      </c>
      <c r="B1147" s="1">
        <v>0.0</v>
      </c>
      <c r="C1147" s="1">
        <v>100.0</v>
      </c>
      <c r="D1147" s="1">
        <v>0.0</v>
      </c>
      <c r="E1147" s="1">
        <v>0.0</v>
      </c>
      <c r="F1147" s="1">
        <v>50.0</v>
      </c>
      <c r="G1147" s="51">
        <f t="shared" si="413"/>
        <v>0.026</v>
      </c>
      <c r="H1147" s="52">
        <f t="shared" si="414"/>
        <v>0.006</v>
      </c>
      <c r="I1147" s="67">
        <f t="shared" si="415"/>
        <v>0.016</v>
      </c>
      <c r="J1147" s="46"/>
    </row>
    <row r="1148">
      <c r="A1148" s="43" t="s">
        <v>33</v>
      </c>
      <c r="B1148" s="92">
        <f>SUM(B1138:B1147)</f>
        <v>7</v>
      </c>
      <c r="C1148" s="93">
        <f>AVERAGE(C1138:C1147)</f>
        <v>139</v>
      </c>
      <c r="D1148" s="93">
        <f>SUM(D1138:D1147)</f>
        <v>4</v>
      </c>
      <c r="E1148" s="93">
        <f t="shared" ref="E1148:F1148" si="416">AVERAGE(E1138:E1147)</f>
        <v>59.1</v>
      </c>
      <c r="F1148" s="94">
        <f t="shared" si="416"/>
        <v>26.8</v>
      </c>
      <c r="G1148" s="95">
        <f t="shared" ref="G1148:H1148" si="417">Average(G1138:G1147)</f>
        <v>0.208</v>
      </c>
      <c r="H1148" s="96">
        <f t="shared" si="417"/>
        <v>0.17702</v>
      </c>
      <c r="I1148" s="97">
        <f t="shared" si="415"/>
        <v>0.19251</v>
      </c>
      <c r="J1148" s="99"/>
    </row>
    <row r="1150">
      <c r="A1150" s="43"/>
      <c r="B1150" s="43" t="s">
        <v>0</v>
      </c>
      <c r="C1150" s="44" t="s">
        <v>208</v>
      </c>
      <c r="D1150" s="43" t="s">
        <v>2</v>
      </c>
      <c r="E1150" s="43" t="str">
        <f>"Game on " &amp; MATCH(MAX(I1152:I1161), I1152:I1161, 0) + ROW(I1152) - 1 &amp; ". row"
</f>
        <v>Game on 1154. row</v>
      </c>
      <c r="F1150" s="43"/>
      <c r="G1150" s="43"/>
      <c r="H1150" s="43"/>
      <c r="I1150" s="45"/>
      <c r="J1150" s="43"/>
    </row>
    <row r="1151">
      <c r="A1151" s="44" t="s">
        <v>209</v>
      </c>
      <c r="B1151" s="46" t="s">
        <v>4</v>
      </c>
      <c r="C1151" s="46" t="s">
        <v>5</v>
      </c>
      <c r="D1151" s="46" t="s">
        <v>6</v>
      </c>
      <c r="E1151" s="46" t="s">
        <v>7</v>
      </c>
      <c r="F1151" s="46" t="s">
        <v>8</v>
      </c>
      <c r="G1151" s="46"/>
      <c r="H1151" s="46"/>
      <c r="I1151" s="47"/>
      <c r="J1151" s="46"/>
    </row>
    <row r="1152">
      <c r="A1152" s="48">
        <v>1.0</v>
      </c>
      <c r="B1152" s="1">
        <v>0.0</v>
      </c>
      <c r="C1152" s="1">
        <v>180.0</v>
      </c>
      <c r="D1152" s="1">
        <v>0.0</v>
      </c>
      <c r="E1152" s="1">
        <v>266.0</v>
      </c>
      <c r="F1152" s="1">
        <v>17.0</v>
      </c>
      <c r="G1152" s="51">
        <f t="shared" ref="G1152:G1161" si="418">(B1152*0.5 + C1152/100*0.2 + (51 - F1152)/5*0.3)/10</f>
        <v>0.24</v>
      </c>
      <c r="H1152" s="52">
        <f t="shared" ref="H1152:H1161" si="419">(D1152*0.5 + E1152/100*0.2 + (51 - F1152)/5*0.3)/10</f>
        <v>0.2572</v>
      </c>
      <c r="I1152" s="67">
        <f t="shared" ref="I1152:I1162" si="420">AVERAGE(G1152,H1152)</f>
        <v>0.2486</v>
      </c>
      <c r="J1152" s="99" t="s">
        <v>15</v>
      </c>
    </row>
    <row r="1153">
      <c r="A1153" s="48">
        <v>2.0</v>
      </c>
      <c r="B1153" s="1">
        <v>0.0</v>
      </c>
      <c r="C1153" s="1">
        <v>117.0</v>
      </c>
      <c r="D1153" s="1">
        <v>1.0</v>
      </c>
      <c r="E1153" s="1">
        <v>153.0</v>
      </c>
      <c r="F1153" s="1">
        <v>33.0</v>
      </c>
      <c r="G1153" s="51">
        <f t="shared" si="418"/>
        <v>0.1314</v>
      </c>
      <c r="H1153" s="52">
        <f t="shared" si="419"/>
        <v>0.1886</v>
      </c>
      <c r="I1153" s="67">
        <f t="shared" si="420"/>
        <v>0.16</v>
      </c>
      <c r="J1153" s="100">
        <f>B1162/10</f>
        <v>1.3</v>
      </c>
    </row>
    <row r="1154">
      <c r="A1154" s="48">
        <v>3.0</v>
      </c>
      <c r="B1154" s="1">
        <v>5.0</v>
      </c>
      <c r="C1154" s="1">
        <v>739.0</v>
      </c>
      <c r="D1154" s="1">
        <v>3.0</v>
      </c>
      <c r="E1154" s="1">
        <v>235.0</v>
      </c>
      <c r="F1154" s="1">
        <v>2.0</v>
      </c>
      <c r="G1154" s="51">
        <f t="shared" si="418"/>
        <v>0.6918</v>
      </c>
      <c r="H1154" s="52">
        <f t="shared" si="419"/>
        <v>0.491</v>
      </c>
      <c r="I1154" s="67">
        <f t="shared" si="420"/>
        <v>0.5914</v>
      </c>
      <c r="J1154" s="99" t="s">
        <v>19</v>
      </c>
    </row>
    <row r="1155">
      <c r="A1155" s="48">
        <v>4.0</v>
      </c>
      <c r="B1155" s="82">
        <v>1.0</v>
      </c>
      <c r="C1155" s="42">
        <v>223.0</v>
      </c>
      <c r="D1155" s="27">
        <v>1.0</v>
      </c>
      <c r="E1155" s="27">
        <v>152.0</v>
      </c>
      <c r="F1155" s="87">
        <v>36.0</v>
      </c>
      <c r="G1155" s="51">
        <f t="shared" si="418"/>
        <v>0.1846</v>
      </c>
      <c r="H1155" s="52">
        <f t="shared" si="419"/>
        <v>0.1704</v>
      </c>
      <c r="I1155" s="67">
        <f t="shared" si="420"/>
        <v>0.1775</v>
      </c>
      <c r="J1155" s="100">
        <f>D1162/10</f>
        <v>0.6</v>
      </c>
    </row>
    <row r="1156">
      <c r="A1156" s="48">
        <v>5.0</v>
      </c>
      <c r="B1156" s="1">
        <v>0.0</v>
      </c>
      <c r="C1156" s="1">
        <v>43.0</v>
      </c>
      <c r="D1156" s="1">
        <v>0.0</v>
      </c>
      <c r="E1156" s="1">
        <v>31.0</v>
      </c>
      <c r="F1156" s="1">
        <v>27.0</v>
      </c>
      <c r="G1156" s="51">
        <f t="shared" si="418"/>
        <v>0.1526</v>
      </c>
      <c r="H1156" s="52">
        <f t="shared" si="419"/>
        <v>0.1502</v>
      </c>
      <c r="I1156" s="67">
        <f t="shared" si="420"/>
        <v>0.1514</v>
      </c>
      <c r="J1156" s="99" t="s">
        <v>23</v>
      </c>
    </row>
    <row r="1157">
      <c r="A1157" s="48">
        <v>6.0</v>
      </c>
      <c r="B1157" s="1">
        <v>0.0</v>
      </c>
      <c r="C1157" s="1">
        <v>85.0</v>
      </c>
      <c r="D1157" s="1">
        <v>0.0</v>
      </c>
      <c r="E1157" s="1">
        <v>18.0</v>
      </c>
      <c r="F1157" s="1">
        <v>37.0</v>
      </c>
      <c r="G1157" s="51">
        <f t="shared" si="418"/>
        <v>0.101</v>
      </c>
      <c r="H1157" s="52">
        <f t="shared" si="419"/>
        <v>0.0876</v>
      </c>
      <c r="I1157" s="67">
        <f t="shared" si="420"/>
        <v>0.0943</v>
      </c>
      <c r="J1157" s="101">
        <f>J1153/J1155</f>
        <v>2.166666667</v>
      </c>
    </row>
    <row r="1158">
      <c r="A1158" s="48">
        <v>7.0</v>
      </c>
      <c r="B1158" s="1">
        <v>0.0</v>
      </c>
      <c r="C1158" s="1">
        <v>0.0</v>
      </c>
      <c r="D1158" s="1">
        <v>1.0</v>
      </c>
      <c r="E1158" s="1">
        <v>200.0</v>
      </c>
      <c r="F1158" s="1">
        <v>39.0</v>
      </c>
      <c r="G1158" s="51">
        <f t="shared" si="418"/>
        <v>0.072</v>
      </c>
      <c r="H1158" s="52">
        <f t="shared" si="419"/>
        <v>0.162</v>
      </c>
      <c r="I1158" s="67">
        <f t="shared" si="420"/>
        <v>0.117</v>
      </c>
      <c r="J1158" s="99" t="s">
        <v>27</v>
      </c>
    </row>
    <row r="1159">
      <c r="A1159" s="48">
        <v>8.0</v>
      </c>
      <c r="B1159" s="1">
        <v>0.0</v>
      </c>
      <c r="C1159" s="1">
        <v>0.0</v>
      </c>
      <c r="D1159" s="1">
        <v>0.0</v>
      </c>
      <c r="E1159" s="1">
        <v>100.0</v>
      </c>
      <c r="F1159" s="1">
        <v>46.0</v>
      </c>
      <c r="G1159" s="51">
        <f t="shared" si="418"/>
        <v>0.03</v>
      </c>
      <c r="H1159" s="52">
        <f t="shared" si="419"/>
        <v>0.05</v>
      </c>
      <c r="I1159" s="67">
        <f t="shared" si="420"/>
        <v>0.04</v>
      </c>
      <c r="J1159" s="101">
        <f>J1155/J1153</f>
        <v>0.4615384615</v>
      </c>
    </row>
    <row r="1160">
      <c r="A1160" s="48">
        <v>9.0</v>
      </c>
      <c r="B1160" s="1">
        <v>5.0</v>
      </c>
      <c r="C1160" s="1">
        <v>683.0</v>
      </c>
      <c r="D1160" s="1">
        <v>0.0</v>
      </c>
      <c r="E1160" s="1">
        <v>240.0</v>
      </c>
      <c r="F1160" s="1">
        <v>13.0</v>
      </c>
      <c r="G1160" s="51">
        <f t="shared" si="418"/>
        <v>0.6146</v>
      </c>
      <c r="H1160" s="52">
        <f t="shared" si="419"/>
        <v>0.276</v>
      </c>
      <c r="I1160" s="67">
        <f t="shared" si="420"/>
        <v>0.4453</v>
      </c>
      <c r="J1160" s="99"/>
    </row>
    <row r="1161">
      <c r="A1161" s="48">
        <v>10.0</v>
      </c>
      <c r="B1161" s="1">
        <v>2.0</v>
      </c>
      <c r="C1161" s="1">
        <v>455.0</v>
      </c>
      <c r="D1161" s="1">
        <v>0.0</v>
      </c>
      <c r="E1161" s="1">
        <v>83.0</v>
      </c>
      <c r="F1161" s="1">
        <v>12.0</v>
      </c>
      <c r="G1161" s="51">
        <f t="shared" si="418"/>
        <v>0.425</v>
      </c>
      <c r="H1161" s="52">
        <f t="shared" si="419"/>
        <v>0.2506</v>
      </c>
      <c r="I1161" s="67">
        <f t="shared" si="420"/>
        <v>0.3378</v>
      </c>
      <c r="J1161" s="46"/>
    </row>
    <row r="1162">
      <c r="A1162" s="43" t="s">
        <v>33</v>
      </c>
      <c r="B1162" s="92">
        <f>SUM(B1152:B1161)</f>
        <v>13</v>
      </c>
      <c r="C1162" s="93">
        <f>AVERAGE(C1152:C1161)</f>
        <v>252.5</v>
      </c>
      <c r="D1162" s="93">
        <f>SUM(D1152:D1161)</f>
        <v>6</v>
      </c>
      <c r="E1162" s="93">
        <f t="shared" ref="E1162:F1162" si="421">AVERAGE(E1152:E1161)</f>
        <v>147.8</v>
      </c>
      <c r="F1162" s="94">
        <f t="shared" si="421"/>
        <v>26.2</v>
      </c>
      <c r="G1162" s="95">
        <f t="shared" ref="G1162:H1162" si="422">Average(G1152:G1161)</f>
        <v>0.2643</v>
      </c>
      <c r="H1162" s="96">
        <f t="shared" si="422"/>
        <v>0.20836</v>
      </c>
      <c r="I1162" s="97">
        <f t="shared" si="420"/>
        <v>0.23633</v>
      </c>
      <c r="J1162" s="99"/>
    </row>
    <row r="1164">
      <c r="A1164" s="43"/>
      <c r="B1164" s="43" t="s">
        <v>0</v>
      </c>
      <c r="C1164" s="44" t="s">
        <v>210</v>
      </c>
      <c r="D1164" s="43" t="s">
        <v>2</v>
      </c>
      <c r="E1164" s="43" t="str">
        <f>"Game on " &amp; MATCH(MAX(I1166:I1175), I1166:I1175, 0) + ROW(I1166) - 1 &amp; ". row"
</f>
        <v>Game on 1172. row</v>
      </c>
      <c r="F1164" s="43"/>
      <c r="G1164" s="43"/>
      <c r="H1164" s="43"/>
      <c r="I1164" s="45"/>
      <c r="J1164" s="43"/>
    </row>
    <row r="1165">
      <c r="A1165" s="44" t="s">
        <v>211</v>
      </c>
      <c r="B1165" s="46" t="s">
        <v>4</v>
      </c>
      <c r="C1165" s="46" t="s">
        <v>5</v>
      </c>
      <c r="D1165" s="46" t="s">
        <v>6</v>
      </c>
      <c r="E1165" s="46" t="s">
        <v>7</v>
      </c>
      <c r="F1165" s="46" t="s">
        <v>8</v>
      </c>
      <c r="G1165" s="46"/>
      <c r="H1165" s="46"/>
      <c r="I1165" s="47"/>
      <c r="J1165" s="46"/>
    </row>
    <row r="1166">
      <c r="A1166" s="48">
        <v>1.0</v>
      </c>
      <c r="B1166" s="1">
        <v>1.0</v>
      </c>
      <c r="C1166" s="1">
        <v>156.0</v>
      </c>
      <c r="D1166" s="1">
        <v>0.0</v>
      </c>
      <c r="E1166" s="1">
        <v>25.0</v>
      </c>
      <c r="F1166" s="1">
        <v>31.0</v>
      </c>
      <c r="G1166" s="51">
        <f t="shared" ref="G1166:G1175" si="423">(B1166*0.5 + C1166/100*0.2 + (51 - F1166)/5*0.3)/10</f>
        <v>0.2012</v>
      </c>
      <c r="H1166" s="52">
        <f t="shared" ref="H1166:H1175" si="424">(D1166*0.5 + E1166/100*0.2 + (51 - F1166)/5*0.3)/10</f>
        <v>0.125</v>
      </c>
      <c r="I1166" s="67">
        <f t="shared" ref="I1166:I1176" si="425">AVERAGE(G1166,H1166)</f>
        <v>0.1631</v>
      </c>
      <c r="J1166" s="99" t="s">
        <v>15</v>
      </c>
    </row>
    <row r="1167">
      <c r="A1167" s="48">
        <v>2.0</v>
      </c>
      <c r="B1167" s="1">
        <v>2.0</v>
      </c>
      <c r="C1167" s="1">
        <v>277.0</v>
      </c>
      <c r="D1167" s="1">
        <v>0.0</v>
      </c>
      <c r="E1167" s="1">
        <v>68.0</v>
      </c>
      <c r="F1167" s="1">
        <v>19.0</v>
      </c>
      <c r="G1167" s="51">
        <f t="shared" si="423"/>
        <v>0.3474</v>
      </c>
      <c r="H1167" s="52">
        <f t="shared" si="424"/>
        <v>0.2056</v>
      </c>
      <c r="I1167" s="67">
        <f t="shared" si="425"/>
        <v>0.2765</v>
      </c>
      <c r="J1167" s="100">
        <f>B1176/10</f>
        <v>1.3</v>
      </c>
    </row>
    <row r="1168">
      <c r="A1168" s="48">
        <v>3.0</v>
      </c>
      <c r="B1168" s="1">
        <v>0.0</v>
      </c>
      <c r="C1168" s="1">
        <v>113.0</v>
      </c>
      <c r="D1168" s="1">
        <v>0.0</v>
      </c>
      <c r="E1168" s="1">
        <v>0.0</v>
      </c>
      <c r="F1168" s="1">
        <v>46.0</v>
      </c>
      <c r="G1168" s="51">
        <f t="shared" si="423"/>
        <v>0.0526</v>
      </c>
      <c r="H1168" s="52">
        <f t="shared" si="424"/>
        <v>0.03</v>
      </c>
      <c r="I1168" s="67">
        <f t="shared" si="425"/>
        <v>0.0413</v>
      </c>
      <c r="J1168" s="99" t="s">
        <v>19</v>
      </c>
    </row>
    <row r="1169">
      <c r="A1169" s="48">
        <v>4.0</v>
      </c>
      <c r="B1169" s="82">
        <v>0.0</v>
      </c>
      <c r="C1169" s="42">
        <v>18.0</v>
      </c>
      <c r="D1169" s="27">
        <v>1.0</v>
      </c>
      <c r="E1169" s="27">
        <v>82.0</v>
      </c>
      <c r="F1169" s="87">
        <v>28.0</v>
      </c>
      <c r="G1169" s="51">
        <f t="shared" si="423"/>
        <v>0.1416</v>
      </c>
      <c r="H1169" s="52">
        <f t="shared" si="424"/>
        <v>0.2044</v>
      </c>
      <c r="I1169" s="67">
        <f t="shared" si="425"/>
        <v>0.173</v>
      </c>
      <c r="J1169" s="100">
        <f>D1176/10</f>
        <v>0.7</v>
      </c>
    </row>
    <row r="1170">
      <c r="A1170" s="48">
        <v>5.0</v>
      </c>
      <c r="B1170" s="1">
        <v>0.0</v>
      </c>
      <c r="C1170" s="1">
        <v>185.0</v>
      </c>
      <c r="D1170" s="1">
        <v>0.0</v>
      </c>
      <c r="E1170" s="1">
        <v>203.0</v>
      </c>
      <c r="F1170" s="1">
        <v>26.0</v>
      </c>
      <c r="G1170" s="51">
        <f t="shared" si="423"/>
        <v>0.187</v>
      </c>
      <c r="H1170" s="52">
        <f t="shared" si="424"/>
        <v>0.1906</v>
      </c>
      <c r="I1170" s="67">
        <f t="shared" si="425"/>
        <v>0.1888</v>
      </c>
      <c r="J1170" s="99" t="s">
        <v>23</v>
      </c>
    </row>
    <row r="1171">
      <c r="A1171" s="48">
        <v>6.0</v>
      </c>
      <c r="B1171" s="1">
        <v>2.0</v>
      </c>
      <c r="C1171" s="1">
        <v>327.0</v>
      </c>
      <c r="D1171" s="1">
        <v>1.0</v>
      </c>
      <c r="E1171" s="1">
        <v>309.0</v>
      </c>
      <c r="F1171" s="1">
        <v>12.0</v>
      </c>
      <c r="G1171" s="51">
        <f t="shared" si="423"/>
        <v>0.3994</v>
      </c>
      <c r="H1171" s="52">
        <f t="shared" si="424"/>
        <v>0.3458</v>
      </c>
      <c r="I1171" s="67">
        <f t="shared" si="425"/>
        <v>0.3726</v>
      </c>
      <c r="J1171" s="101">
        <f>J1167/J1169</f>
        <v>1.857142857</v>
      </c>
    </row>
    <row r="1172">
      <c r="A1172" s="48">
        <v>7.0</v>
      </c>
      <c r="B1172" s="1">
        <v>5.0</v>
      </c>
      <c r="C1172" s="1">
        <v>274.0</v>
      </c>
      <c r="D1172" s="1">
        <v>3.0</v>
      </c>
      <c r="E1172" s="1">
        <v>487.0</v>
      </c>
      <c r="F1172" s="1">
        <v>7.0</v>
      </c>
      <c r="G1172" s="51">
        <f t="shared" si="423"/>
        <v>0.5688</v>
      </c>
      <c r="H1172" s="52">
        <f t="shared" si="424"/>
        <v>0.5114</v>
      </c>
      <c r="I1172" s="67">
        <f t="shared" si="425"/>
        <v>0.5401</v>
      </c>
      <c r="J1172" s="99" t="s">
        <v>27</v>
      </c>
    </row>
    <row r="1173">
      <c r="A1173" s="48">
        <v>8.0</v>
      </c>
      <c r="B1173" s="1">
        <v>3.0</v>
      </c>
      <c r="C1173" s="1">
        <v>466.0</v>
      </c>
      <c r="D1173" s="1">
        <v>2.0</v>
      </c>
      <c r="E1173" s="1">
        <v>238.0</v>
      </c>
      <c r="F1173" s="1">
        <v>24.0</v>
      </c>
      <c r="G1173" s="51">
        <f t="shared" si="423"/>
        <v>0.4052</v>
      </c>
      <c r="H1173" s="52">
        <f t="shared" si="424"/>
        <v>0.3096</v>
      </c>
      <c r="I1173" s="67">
        <f t="shared" si="425"/>
        <v>0.3574</v>
      </c>
      <c r="J1173" s="101">
        <f>J1169/J1167</f>
        <v>0.5384615385</v>
      </c>
    </row>
    <row r="1174">
      <c r="A1174" s="48">
        <v>9.0</v>
      </c>
      <c r="B1174" s="1">
        <v>0.0</v>
      </c>
      <c r="C1174" s="1">
        <v>28.0</v>
      </c>
      <c r="D1174" s="1">
        <v>0.0</v>
      </c>
      <c r="E1174" s="1">
        <v>43.0</v>
      </c>
      <c r="F1174" s="1">
        <v>40.0</v>
      </c>
      <c r="G1174" s="51">
        <f t="shared" si="423"/>
        <v>0.0716</v>
      </c>
      <c r="H1174" s="52">
        <f t="shared" si="424"/>
        <v>0.0746</v>
      </c>
      <c r="I1174" s="67">
        <f t="shared" si="425"/>
        <v>0.0731</v>
      </c>
      <c r="J1174" s="99"/>
    </row>
    <row r="1175">
      <c r="A1175" s="48">
        <v>10.0</v>
      </c>
      <c r="B1175" s="1">
        <v>0.0</v>
      </c>
      <c r="C1175" s="1">
        <v>0.0</v>
      </c>
      <c r="D1175" s="1">
        <v>0.0</v>
      </c>
      <c r="E1175" s="1">
        <v>0.0</v>
      </c>
      <c r="F1175" s="1">
        <v>28.0</v>
      </c>
      <c r="G1175" s="51">
        <f t="shared" si="423"/>
        <v>0.138</v>
      </c>
      <c r="H1175" s="52">
        <f t="shared" si="424"/>
        <v>0.138</v>
      </c>
      <c r="I1175" s="67">
        <f t="shared" si="425"/>
        <v>0.138</v>
      </c>
      <c r="J1175" s="46"/>
    </row>
    <row r="1176">
      <c r="A1176" s="43" t="s">
        <v>33</v>
      </c>
      <c r="B1176" s="92">
        <f>SUM(B1166:B1175)</f>
        <v>13</v>
      </c>
      <c r="C1176" s="93">
        <f>AVERAGE(C1166:C1175)</f>
        <v>184.4</v>
      </c>
      <c r="D1176" s="93">
        <f>SUM(D1166:D1175)</f>
        <v>7</v>
      </c>
      <c r="E1176" s="93">
        <f t="shared" ref="E1176:F1176" si="426">AVERAGE(E1166:E1175)</f>
        <v>145.5</v>
      </c>
      <c r="F1176" s="94">
        <f t="shared" si="426"/>
        <v>26.1</v>
      </c>
      <c r="G1176" s="95">
        <f t="shared" ref="G1176:H1176" si="427">Average(G1166:G1175)</f>
        <v>0.25128</v>
      </c>
      <c r="H1176" s="96">
        <f t="shared" si="427"/>
        <v>0.2135</v>
      </c>
      <c r="I1176" s="97">
        <f t="shared" si="425"/>
        <v>0.23239</v>
      </c>
      <c r="J1176" s="99"/>
    </row>
    <row r="1178">
      <c r="A1178" s="43"/>
      <c r="B1178" s="43" t="s">
        <v>0</v>
      </c>
      <c r="C1178" s="44" t="s">
        <v>212</v>
      </c>
      <c r="D1178" s="43" t="s">
        <v>2</v>
      </c>
      <c r="E1178" s="43" t="str">
        <f>"Game on " &amp; MATCH(MAX(I1180:I1189), I1180:I1189, 0) + ROW(I1180) - 1 &amp; ". row"
</f>
        <v>Game on 1184. row</v>
      </c>
      <c r="F1178" s="43"/>
      <c r="G1178" s="43"/>
      <c r="H1178" s="43"/>
      <c r="I1178" s="45"/>
      <c r="J1178" s="43"/>
    </row>
    <row r="1179">
      <c r="A1179" s="44" t="s">
        <v>213</v>
      </c>
      <c r="B1179" s="46" t="s">
        <v>4</v>
      </c>
      <c r="C1179" s="46" t="s">
        <v>5</v>
      </c>
      <c r="D1179" s="46" t="s">
        <v>6</v>
      </c>
      <c r="E1179" s="46" t="s">
        <v>7</v>
      </c>
      <c r="F1179" s="46" t="s">
        <v>8</v>
      </c>
      <c r="G1179" s="46"/>
      <c r="H1179" s="46"/>
      <c r="I1179" s="47"/>
      <c r="J1179" s="46"/>
    </row>
    <row r="1180">
      <c r="A1180" s="48">
        <v>1.0</v>
      </c>
      <c r="B1180" s="1">
        <v>0.0</v>
      </c>
      <c r="C1180" s="1">
        <v>55.0</v>
      </c>
      <c r="D1180" s="1">
        <v>0.0</v>
      </c>
      <c r="E1180" s="1">
        <v>0.0</v>
      </c>
      <c r="F1180" s="1">
        <v>41.0</v>
      </c>
      <c r="G1180" s="51">
        <f t="shared" ref="G1180:G1189" si="428">(B1180*0.5 + C1180/100*0.2 + (51 - F1180)/5*0.3)/10</f>
        <v>0.071</v>
      </c>
      <c r="H1180" s="52">
        <f t="shared" ref="H1180:H1189" si="429">(D1180*0.5 + E1180/100*0.2 + (51 - F1180)/5*0.3)/10</f>
        <v>0.06</v>
      </c>
      <c r="I1180" s="67">
        <f t="shared" ref="I1180:I1190" si="430">AVERAGE(G1180,H1180)</f>
        <v>0.0655</v>
      </c>
      <c r="J1180" s="99" t="s">
        <v>15</v>
      </c>
    </row>
    <row r="1181">
      <c r="A1181" s="48">
        <v>2.0</v>
      </c>
      <c r="B1181" s="1">
        <v>1.0</v>
      </c>
      <c r="C1181" s="1">
        <v>123.0</v>
      </c>
      <c r="D1181" s="1">
        <v>0.0</v>
      </c>
      <c r="E1181" s="1">
        <v>171.0</v>
      </c>
      <c r="F1181" s="1">
        <v>31.0</v>
      </c>
      <c r="G1181" s="51">
        <f t="shared" si="428"/>
        <v>0.1946</v>
      </c>
      <c r="H1181" s="52">
        <f t="shared" si="429"/>
        <v>0.1542</v>
      </c>
      <c r="I1181" s="67">
        <f t="shared" si="430"/>
        <v>0.1744</v>
      </c>
      <c r="J1181" s="100">
        <f>B1190/10</f>
        <v>0.6</v>
      </c>
    </row>
    <row r="1182">
      <c r="A1182" s="48">
        <v>3.0</v>
      </c>
      <c r="B1182" s="1">
        <v>0.0</v>
      </c>
      <c r="C1182" s="1">
        <v>20.0</v>
      </c>
      <c r="D1182" s="1">
        <v>0.0</v>
      </c>
      <c r="E1182" s="1">
        <v>19.0</v>
      </c>
      <c r="F1182" s="1">
        <v>21.0</v>
      </c>
      <c r="G1182" s="51">
        <f t="shared" si="428"/>
        <v>0.184</v>
      </c>
      <c r="H1182" s="52">
        <f t="shared" si="429"/>
        <v>0.1838</v>
      </c>
      <c r="I1182" s="67">
        <f t="shared" si="430"/>
        <v>0.1839</v>
      </c>
      <c r="J1182" s="99" t="s">
        <v>19</v>
      </c>
    </row>
    <row r="1183">
      <c r="A1183" s="48">
        <v>4.0</v>
      </c>
      <c r="B1183" s="82">
        <v>0.0</v>
      </c>
      <c r="C1183" s="42">
        <v>146.0</v>
      </c>
      <c r="D1183" s="27">
        <v>0.0</v>
      </c>
      <c r="E1183" s="27">
        <v>0.0</v>
      </c>
      <c r="F1183" s="87">
        <v>11.0</v>
      </c>
      <c r="G1183" s="51">
        <f t="shared" si="428"/>
        <v>0.2692</v>
      </c>
      <c r="H1183" s="52">
        <f t="shared" si="429"/>
        <v>0.24</v>
      </c>
      <c r="I1183" s="67">
        <f t="shared" si="430"/>
        <v>0.2546</v>
      </c>
      <c r="J1183" s="100">
        <f>D1190/10</f>
        <v>0.1</v>
      </c>
    </row>
    <row r="1184">
      <c r="A1184" s="48">
        <v>5.0</v>
      </c>
      <c r="B1184" s="1">
        <v>5.0</v>
      </c>
      <c r="C1184" s="1">
        <v>548.0</v>
      </c>
      <c r="D1184" s="1">
        <v>1.0</v>
      </c>
      <c r="E1184" s="1">
        <v>237.0</v>
      </c>
      <c r="F1184" s="1">
        <v>7.0</v>
      </c>
      <c r="G1184" s="51">
        <f t="shared" si="428"/>
        <v>0.6236</v>
      </c>
      <c r="H1184" s="52">
        <f t="shared" si="429"/>
        <v>0.3614</v>
      </c>
      <c r="I1184" s="67">
        <f t="shared" si="430"/>
        <v>0.4925</v>
      </c>
      <c r="J1184" s="99" t="s">
        <v>23</v>
      </c>
    </row>
    <row r="1185">
      <c r="A1185" s="48">
        <v>6.0</v>
      </c>
      <c r="B1185" s="1">
        <v>0.0</v>
      </c>
      <c r="C1185" s="1">
        <v>237.0</v>
      </c>
      <c r="D1185" s="1">
        <v>0.0</v>
      </c>
      <c r="E1185" s="1">
        <v>0.0</v>
      </c>
      <c r="F1185" s="1">
        <v>31.0</v>
      </c>
      <c r="G1185" s="51">
        <f t="shared" si="428"/>
        <v>0.1674</v>
      </c>
      <c r="H1185" s="52">
        <f t="shared" si="429"/>
        <v>0.12</v>
      </c>
      <c r="I1185" s="67">
        <f t="shared" si="430"/>
        <v>0.1437</v>
      </c>
      <c r="J1185" s="101">
        <f>J1181/J1183</f>
        <v>6</v>
      </c>
    </row>
    <row r="1186">
      <c r="A1186" s="48">
        <v>7.0</v>
      </c>
      <c r="B1186" s="1">
        <v>0.0</v>
      </c>
      <c r="C1186" s="1">
        <v>109.0</v>
      </c>
      <c r="D1186" s="1">
        <v>0.0</v>
      </c>
      <c r="E1186" s="1">
        <v>80.0</v>
      </c>
      <c r="F1186" s="1">
        <v>19.0</v>
      </c>
      <c r="G1186" s="51">
        <f t="shared" si="428"/>
        <v>0.2138</v>
      </c>
      <c r="H1186" s="52">
        <f t="shared" si="429"/>
        <v>0.208</v>
      </c>
      <c r="I1186" s="67">
        <f t="shared" si="430"/>
        <v>0.2109</v>
      </c>
      <c r="J1186" s="99" t="s">
        <v>27</v>
      </c>
    </row>
    <row r="1187">
      <c r="A1187" s="48">
        <v>8.0</v>
      </c>
      <c r="B1187" s="1">
        <v>0.0</v>
      </c>
      <c r="C1187" s="1">
        <v>62.0</v>
      </c>
      <c r="D1187" s="1">
        <v>0.0</v>
      </c>
      <c r="E1187" s="1">
        <v>139.0</v>
      </c>
      <c r="F1187" s="1">
        <v>35.0</v>
      </c>
      <c r="G1187" s="51">
        <f t="shared" si="428"/>
        <v>0.1084</v>
      </c>
      <c r="H1187" s="52">
        <f t="shared" si="429"/>
        <v>0.1238</v>
      </c>
      <c r="I1187" s="67">
        <f t="shared" si="430"/>
        <v>0.1161</v>
      </c>
      <c r="J1187" s="101">
        <f>J1183/J1181</f>
        <v>0.1666666667</v>
      </c>
    </row>
    <row r="1188">
      <c r="A1188" s="48">
        <v>9.0</v>
      </c>
      <c r="B1188" s="1">
        <v>0.0</v>
      </c>
      <c r="C1188" s="1">
        <v>44.0</v>
      </c>
      <c r="D1188" s="1">
        <v>0.0</v>
      </c>
      <c r="E1188" s="1">
        <v>0.0</v>
      </c>
      <c r="F1188" s="1">
        <v>39.0</v>
      </c>
      <c r="G1188" s="51">
        <f t="shared" si="428"/>
        <v>0.0808</v>
      </c>
      <c r="H1188" s="52">
        <f t="shared" si="429"/>
        <v>0.072</v>
      </c>
      <c r="I1188" s="67">
        <f t="shared" si="430"/>
        <v>0.0764</v>
      </c>
      <c r="J1188" s="99"/>
    </row>
    <row r="1189">
      <c r="A1189" s="48">
        <v>10.0</v>
      </c>
      <c r="B1189" s="1">
        <v>0.0</v>
      </c>
      <c r="C1189" s="1">
        <v>0.0</v>
      </c>
      <c r="D1189" s="1">
        <v>0.0</v>
      </c>
      <c r="E1189" s="1">
        <v>0.0</v>
      </c>
      <c r="F1189" s="1">
        <v>40.0</v>
      </c>
      <c r="G1189" s="51">
        <f t="shared" si="428"/>
        <v>0.066</v>
      </c>
      <c r="H1189" s="52">
        <f t="shared" si="429"/>
        <v>0.066</v>
      </c>
      <c r="I1189" s="67">
        <f t="shared" si="430"/>
        <v>0.066</v>
      </c>
      <c r="J1189" s="46"/>
    </row>
    <row r="1190">
      <c r="A1190" s="43" t="s">
        <v>33</v>
      </c>
      <c r="B1190" s="92">
        <f>SUM(B1180:B1189)</f>
        <v>6</v>
      </c>
      <c r="C1190" s="93">
        <f>AVERAGE(C1180:C1189)</f>
        <v>134.4</v>
      </c>
      <c r="D1190" s="93">
        <f>SUM(D1180:D1189)</f>
        <v>1</v>
      </c>
      <c r="E1190" s="93">
        <f t="shared" ref="E1190:F1190" si="431">AVERAGE(E1180:E1189)</f>
        <v>64.6</v>
      </c>
      <c r="F1190" s="94">
        <f t="shared" si="431"/>
        <v>27.5</v>
      </c>
      <c r="G1190" s="95">
        <f t="shared" ref="G1190:H1190" si="432">Average(G1180:G1189)</f>
        <v>0.19788</v>
      </c>
      <c r="H1190" s="96">
        <f t="shared" si="432"/>
        <v>0.15892</v>
      </c>
      <c r="I1190" s="97">
        <f t="shared" si="430"/>
        <v>0.1784</v>
      </c>
      <c r="J1190" s="99"/>
    </row>
    <row r="1192">
      <c r="A1192" s="43"/>
      <c r="B1192" s="43" t="s">
        <v>0</v>
      </c>
      <c r="C1192" s="44" t="s">
        <v>214</v>
      </c>
      <c r="D1192" s="43" t="s">
        <v>2</v>
      </c>
      <c r="E1192" s="43" t="str">
        <f>"Game on " &amp; MATCH(MAX(I1194:I1203), I1194:I1203, 0) + ROW(I1194) - 1 &amp; ". row"
</f>
        <v>Game on 1194. row</v>
      </c>
      <c r="F1192" s="43"/>
      <c r="G1192" s="43"/>
      <c r="H1192" s="43"/>
      <c r="I1192" s="45"/>
      <c r="J1192" s="43"/>
    </row>
    <row r="1193">
      <c r="A1193" s="44" t="s">
        <v>215</v>
      </c>
      <c r="B1193" s="46" t="s">
        <v>4</v>
      </c>
      <c r="C1193" s="46" t="s">
        <v>5</v>
      </c>
      <c r="D1193" s="46" t="s">
        <v>6</v>
      </c>
      <c r="E1193" s="46" t="s">
        <v>7</v>
      </c>
      <c r="F1193" s="46" t="s">
        <v>8</v>
      </c>
      <c r="G1193" s="46"/>
      <c r="H1193" s="46"/>
      <c r="I1193" s="47"/>
      <c r="J1193" s="46"/>
    </row>
    <row r="1194">
      <c r="A1194" s="48">
        <v>1.0</v>
      </c>
      <c r="B1194" s="1">
        <v>5.0</v>
      </c>
      <c r="C1194" s="1">
        <v>666.0</v>
      </c>
      <c r="D1194" s="1">
        <v>2.0</v>
      </c>
      <c r="E1194" s="1">
        <v>213.0</v>
      </c>
      <c r="F1194" s="1">
        <v>2.0</v>
      </c>
      <c r="G1194" s="51">
        <f t="shared" ref="G1194:G1203" si="433">(B1194*0.5 + C1194/100*0.2 + (51 - F1194)/5*0.3)/10</f>
        <v>0.6772</v>
      </c>
      <c r="H1194" s="52">
        <f t="shared" ref="H1194:H1203" si="434">(D1194*0.5 + E1194/100*0.2 + (51 - F1194)/5*0.3)/10</f>
        <v>0.4366</v>
      </c>
      <c r="I1194" s="67">
        <f t="shared" ref="I1194:I1204" si="435">AVERAGE(G1194,H1194)</f>
        <v>0.5569</v>
      </c>
      <c r="J1194" s="99" t="s">
        <v>15</v>
      </c>
    </row>
    <row r="1195">
      <c r="A1195" s="48">
        <v>2.0</v>
      </c>
      <c r="B1195" s="1">
        <v>0.0</v>
      </c>
      <c r="C1195" s="1">
        <v>0.0</v>
      </c>
      <c r="D1195" s="1">
        <v>0.0</v>
      </c>
      <c r="E1195" s="1">
        <v>94.0</v>
      </c>
      <c r="F1195" s="1">
        <v>33.0</v>
      </c>
      <c r="G1195" s="51">
        <f t="shared" si="433"/>
        <v>0.108</v>
      </c>
      <c r="H1195" s="52">
        <f t="shared" si="434"/>
        <v>0.1268</v>
      </c>
      <c r="I1195" s="67">
        <f t="shared" si="435"/>
        <v>0.1174</v>
      </c>
      <c r="J1195" s="100">
        <f>B1204/10</f>
        <v>1.4</v>
      </c>
    </row>
    <row r="1196">
      <c r="A1196" s="48">
        <v>3.0</v>
      </c>
      <c r="B1196" s="1">
        <v>3.0</v>
      </c>
      <c r="C1196" s="1">
        <v>381.0</v>
      </c>
      <c r="D1196" s="1">
        <v>1.0</v>
      </c>
      <c r="E1196" s="1">
        <v>121.0</v>
      </c>
      <c r="F1196" s="1">
        <v>20.0</v>
      </c>
      <c r="G1196" s="51">
        <f t="shared" si="433"/>
        <v>0.4122</v>
      </c>
      <c r="H1196" s="52">
        <f t="shared" si="434"/>
        <v>0.2602</v>
      </c>
      <c r="I1196" s="67">
        <f t="shared" si="435"/>
        <v>0.3362</v>
      </c>
      <c r="J1196" s="99" t="s">
        <v>19</v>
      </c>
    </row>
    <row r="1197">
      <c r="A1197" s="48">
        <v>4.0</v>
      </c>
      <c r="B1197" s="82">
        <v>2.0</v>
      </c>
      <c r="C1197" s="42">
        <v>287.0</v>
      </c>
      <c r="D1197" s="27">
        <v>2.0</v>
      </c>
      <c r="E1197" s="27">
        <v>252.0</v>
      </c>
      <c r="F1197" s="87">
        <v>14.0</v>
      </c>
      <c r="G1197" s="51">
        <f t="shared" si="433"/>
        <v>0.3794</v>
      </c>
      <c r="H1197" s="52">
        <f t="shared" si="434"/>
        <v>0.3724</v>
      </c>
      <c r="I1197" s="67">
        <f t="shared" si="435"/>
        <v>0.3759</v>
      </c>
      <c r="J1197" s="100">
        <f>D1204/10</f>
        <v>1.3</v>
      </c>
    </row>
    <row r="1198">
      <c r="A1198" s="48">
        <v>5.0</v>
      </c>
      <c r="B1198" s="1">
        <v>2.0</v>
      </c>
      <c r="C1198" s="1">
        <v>167.0</v>
      </c>
      <c r="D1198" s="1">
        <v>1.0</v>
      </c>
      <c r="E1198" s="1">
        <v>243.0</v>
      </c>
      <c r="F1198" s="1">
        <v>5.0</v>
      </c>
      <c r="G1198" s="51">
        <f t="shared" si="433"/>
        <v>0.4094</v>
      </c>
      <c r="H1198" s="52">
        <f t="shared" si="434"/>
        <v>0.3746</v>
      </c>
      <c r="I1198" s="67">
        <f t="shared" si="435"/>
        <v>0.392</v>
      </c>
      <c r="J1198" s="99" t="s">
        <v>23</v>
      </c>
    </row>
    <row r="1199">
      <c r="A1199" s="48">
        <v>6.0</v>
      </c>
      <c r="B1199" s="1">
        <v>0.0</v>
      </c>
      <c r="C1199" s="1">
        <v>102.0</v>
      </c>
      <c r="D1199" s="1">
        <v>0.0</v>
      </c>
      <c r="E1199" s="1">
        <v>102.0</v>
      </c>
      <c r="F1199" s="1">
        <v>18.0</v>
      </c>
      <c r="G1199" s="51">
        <f t="shared" si="433"/>
        <v>0.2184</v>
      </c>
      <c r="H1199" s="52">
        <f t="shared" si="434"/>
        <v>0.2184</v>
      </c>
      <c r="I1199" s="67">
        <f t="shared" si="435"/>
        <v>0.2184</v>
      </c>
      <c r="J1199" s="101">
        <f>J1195/J1197</f>
        <v>1.076923077</v>
      </c>
    </row>
    <row r="1200">
      <c r="A1200" s="48">
        <v>7.0</v>
      </c>
      <c r="B1200" s="1">
        <v>0.0</v>
      </c>
      <c r="C1200" s="1">
        <v>56.0</v>
      </c>
      <c r="D1200" s="1">
        <v>2.0</v>
      </c>
      <c r="E1200" s="1">
        <v>103.0</v>
      </c>
      <c r="F1200" s="1">
        <v>24.0</v>
      </c>
      <c r="G1200" s="51">
        <f t="shared" si="433"/>
        <v>0.1732</v>
      </c>
      <c r="H1200" s="52">
        <f t="shared" si="434"/>
        <v>0.2826</v>
      </c>
      <c r="I1200" s="67">
        <f t="shared" si="435"/>
        <v>0.2279</v>
      </c>
      <c r="J1200" s="99" t="s">
        <v>27</v>
      </c>
    </row>
    <row r="1201">
      <c r="A1201" s="48">
        <v>8.0</v>
      </c>
      <c r="B1201" s="1">
        <v>1.0</v>
      </c>
      <c r="C1201" s="1">
        <v>239.0</v>
      </c>
      <c r="D1201" s="1">
        <v>2.0</v>
      </c>
      <c r="E1201" s="1">
        <v>103.0</v>
      </c>
      <c r="F1201" s="1">
        <v>13.0</v>
      </c>
      <c r="G1201" s="51">
        <f t="shared" si="433"/>
        <v>0.3258</v>
      </c>
      <c r="H1201" s="52">
        <f t="shared" si="434"/>
        <v>0.3486</v>
      </c>
      <c r="I1201" s="67">
        <f t="shared" si="435"/>
        <v>0.3372</v>
      </c>
      <c r="J1201" s="101">
        <f>J1197/J1195</f>
        <v>0.9285714286</v>
      </c>
    </row>
    <row r="1202">
      <c r="A1202" s="48">
        <v>9.0</v>
      </c>
      <c r="B1202" s="1">
        <v>1.0</v>
      </c>
      <c r="C1202" s="1">
        <v>92.0</v>
      </c>
      <c r="D1202" s="1">
        <v>3.0</v>
      </c>
      <c r="E1202" s="1">
        <v>361.0</v>
      </c>
      <c r="F1202" s="1">
        <v>31.0</v>
      </c>
      <c r="G1202" s="51">
        <f t="shared" si="433"/>
        <v>0.1884</v>
      </c>
      <c r="H1202" s="52">
        <f t="shared" si="434"/>
        <v>0.3422</v>
      </c>
      <c r="I1202" s="67">
        <f t="shared" si="435"/>
        <v>0.2653</v>
      </c>
      <c r="J1202" s="99"/>
    </row>
    <row r="1203">
      <c r="A1203" s="48">
        <v>10.0</v>
      </c>
      <c r="B1203" s="1">
        <v>0.0</v>
      </c>
      <c r="C1203" s="1">
        <v>55.0</v>
      </c>
      <c r="D1203" s="1">
        <v>0.0</v>
      </c>
      <c r="E1203" s="1">
        <v>39.0</v>
      </c>
      <c r="F1203" s="1">
        <v>33.0</v>
      </c>
      <c r="G1203" s="51">
        <f t="shared" si="433"/>
        <v>0.119</v>
      </c>
      <c r="H1203" s="52">
        <f t="shared" si="434"/>
        <v>0.1158</v>
      </c>
      <c r="I1203" s="67">
        <f t="shared" si="435"/>
        <v>0.1174</v>
      </c>
      <c r="J1203" s="46"/>
    </row>
    <row r="1204">
      <c r="A1204" s="43" t="s">
        <v>33</v>
      </c>
      <c r="B1204" s="92">
        <f>SUM(B1194:B1203)</f>
        <v>14</v>
      </c>
      <c r="C1204" s="93">
        <f>AVERAGE(C1194:C1203)</f>
        <v>204.5</v>
      </c>
      <c r="D1204" s="93">
        <f>SUM(D1194:D1203)</f>
        <v>13</v>
      </c>
      <c r="E1204" s="93">
        <f t="shared" ref="E1204:F1204" si="436">AVERAGE(E1194:E1203)</f>
        <v>163.1</v>
      </c>
      <c r="F1204" s="94">
        <f t="shared" si="436"/>
        <v>19.3</v>
      </c>
      <c r="G1204" s="95">
        <f t="shared" ref="G1204:H1204" si="437">Average(G1194:G1203)</f>
        <v>0.3011</v>
      </c>
      <c r="H1204" s="96">
        <f t="shared" si="437"/>
        <v>0.28782</v>
      </c>
      <c r="I1204" s="97">
        <f t="shared" si="435"/>
        <v>0.29446</v>
      </c>
      <c r="J1204" s="99"/>
    </row>
    <row r="1206">
      <c r="A1206" s="43"/>
      <c r="B1206" s="43" t="s">
        <v>0</v>
      </c>
      <c r="C1206" s="44" t="s">
        <v>216</v>
      </c>
      <c r="D1206" s="43" t="s">
        <v>2</v>
      </c>
      <c r="E1206" s="43" t="str">
        <f>"Game on " &amp; MATCH(MAX(I1208:I1217), I1208:I1217, 0) + ROW(I1208) - 1 &amp; ". row"
</f>
        <v>Game on 1214. row</v>
      </c>
      <c r="F1206" s="43"/>
      <c r="G1206" s="43"/>
      <c r="H1206" s="43"/>
      <c r="I1206" s="45"/>
      <c r="J1206" s="43"/>
    </row>
    <row r="1207">
      <c r="A1207" s="44" t="s">
        <v>217</v>
      </c>
      <c r="B1207" s="46" t="s">
        <v>4</v>
      </c>
      <c r="C1207" s="46" t="s">
        <v>5</v>
      </c>
      <c r="D1207" s="46" t="s">
        <v>6</v>
      </c>
      <c r="E1207" s="46" t="s">
        <v>7</v>
      </c>
      <c r="F1207" s="46" t="s">
        <v>8</v>
      </c>
      <c r="G1207" s="46"/>
      <c r="H1207" s="46"/>
      <c r="I1207" s="47"/>
      <c r="J1207" s="46"/>
    </row>
    <row r="1208">
      <c r="A1208" s="48">
        <v>1.0</v>
      </c>
      <c r="B1208" s="1">
        <v>2.0</v>
      </c>
      <c r="C1208" s="1">
        <v>240.0</v>
      </c>
      <c r="D1208" s="1">
        <v>0.0</v>
      </c>
      <c r="E1208" s="1">
        <v>0.0</v>
      </c>
      <c r="F1208" s="1">
        <v>11.0</v>
      </c>
      <c r="G1208" s="51">
        <f t="shared" ref="G1208:G1217" si="438">(B1208*0.5 + C1208/100*0.2 + (51 - F1208)/5*0.3)/10</f>
        <v>0.388</v>
      </c>
      <c r="H1208" s="52">
        <f t="shared" ref="H1208:H1217" si="439">(D1208*0.5 + E1208/100*0.2 + (51 - F1208)/5*0.3)/10</f>
        <v>0.24</v>
      </c>
      <c r="I1208" s="67">
        <f t="shared" ref="I1208:I1218" si="440">AVERAGE(G1208,H1208)</f>
        <v>0.314</v>
      </c>
      <c r="J1208" s="99" t="s">
        <v>15</v>
      </c>
    </row>
    <row r="1209">
      <c r="A1209" s="48">
        <v>2.0</v>
      </c>
      <c r="B1209" s="1">
        <v>4.0</v>
      </c>
      <c r="C1209" s="1">
        <v>476.0</v>
      </c>
      <c r="D1209" s="1">
        <v>1.0</v>
      </c>
      <c r="E1209" s="1">
        <v>98.0</v>
      </c>
      <c r="F1209" s="1">
        <v>12.0</v>
      </c>
      <c r="G1209" s="51">
        <f t="shared" si="438"/>
        <v>0.5292</v>
      </c>
      <c r="H1209" s="52">
        <f t="shared" si="439"/>
        <v>0.3036</v>
      </c>
      <c r="I1209" s="67">
        <f t="shared" si="440"/>
        <v>0.4164</v>
      </c>
      <c r="J1209" s="100">
        <f>B1218/10</f>
        <v>1.6</v>
      </c>
    </row>
    <row r="1210">
      <c r="A1210" s="48">
        <v>3.0</v>
      </c>
      <c r="B1210" s="1">
        <v>0.0</v>
      </c>
      <c r="C1210" s="1">
        <v>64.0</v>
      </c>
      <c r="D1210" s="1">
        <v>0.0</v>
      </c>
      <c r="E1210" s="1">
        <v>0.0</v>
      </c>
      <c r="F1210" s="1">
        <v>29.0</v>
      </c>
      <c r="G1210" s="51">
        <f t="shared" si="438"/>
        <v>0.1448</v>
      </c>
      <c r="H1210" s="52">
        <f t="shared" si="439"/>
        <v>0.132</v>
      </c>
      <c r="I1210" s="67">
        <f t="shared" si="440"/>
        <v>0.1384</v>
      </c>
      <c r="J1210" s="99" t="s">
        <v>19</v>
      </c>
    </row>
    <row r="1211">
      <c r="A1211" s="48">
        <v>4.0</v>
      </c>
      <c r="B1211" s="82">
        <v>0.0</v>
      </c>
      <c r="C1211" s="42">
        <v>128.0</v>
      </c>
      <c r="D1211" s="27">
        <v>0.0</v>
      </c>
      <c r="E1211" s="27">
        <v>0.0</v>
      </c>
      <c r="F1211" s="87">
        <v>30.0</v>
      </c>
      <c r="G1211" s="51">
        <f t="shared" si="438"/>
        <v>0.1516</v>
      </c>
      <c r="H1211" s="52">
        <f t="shared" si="439"/>
        <v>0.126</v>
      </c>
      <c r="I1211" s="67">
        <f t="shared" si="440"/>
        <v>0.1388</v>
      </c>
      <c r="J1211" s="100">
        <f>D1218/10</f>
        <v>1</v>
      </c>
    </row>
    <row r="1212">
      <c r="A1212" s="48">
        <v>5.0</v>
      </c>
      <c r="B1212" s="1">
        <v>0.0</v>
      </c>
      <c r="C1212" s="1">
        <v>171.0</v>
      </c>
      <c r="D1212" s="1">
        <v>2.0</v>
      </c>
      <c r="E1212" s="1">
        <v>174.0</v>
      </c>
      <c r="F1212" s="1">
        <v>24.0</v>
      </c>
      <c r="G1212" s="51">
        <f t="shared" si="438"/>
        <v>0.1962</v>
      </c>
      <c r="H1212" s="52">
        <f t="shared" si="439"/>
        <v>0.2968</v>
      </c>
      <c r="I1212" s="67">
        <f t="shared" si="440"/>
        <v>0.2465</v>
      </c>
      <c r="J1212" s="99" t="s">
        <v>23</v>
      </c>
    </row>
    <row r="1213">
      <c r="A1213" s="48">
        <v>6.0</v>
      </c>
      <c r="B1213" s="1">
        <v>2.0</v>
      </c>
      <c r="C1213" s="1">
        <v>399.0</v>
      </c>
      <c r="D1213" s="1">
        <v>1.0</v>
      </c>
      <c r="E1213" s="1">
        <v>226.0</v>
      </c>
      <c r="F1213" s="1">
        <v>7.0</v>
      </c>
      <c r="G1213" s="51">
        <f t="shared" si="438"/>
        <v>0.4438</v>
      </c>
      <c r="H1213" s="52">
        <f t="shared" si="439"/>
        <v>0.3592</v>
      </c>
      <c r="I1213" s="67">
        <f t="shared" si="440"/>
        <v>0.4015</v>
      </c>
      <c r="J1213" s="101">
        <f>J1209/J1211</f>
        <v>1.6</v>
      </c>
    </row>
    <row r="1214">
      <c r="A1214" s="48">
        <v>7.0</v>
      </c>
      <c r="B1214" s="1">
        <v>3.0</v>
      </c>
      <c r="C1214" s="1">
        <v>482.0</v>
      </c>
      <c r="D1214" s="1">
        <v>3.0</v>
      </c>
      <c r="E1214" s="1">
        <v>227.0</v>
      </c>
      <c r="F1214" s="1">
        <v>5.0</v>
      </c>
      <c r="G1214" s="51">
        <f t="shared" si="438"/>
        <v>0.5224</v>
      </c>
      <c r="H1214" s="52">
        <f t="shared" si="439"/>
        <v>0.4714</v>
      </c>
      <c r="I1214" s="67">
        <f t="shared" si="440"/>
        <v>0.4969</v>
      </c>
      <c r="J1214" s="99" t="s">
        <v>27</v>
      </c>
    </row>
    <row r="1215">
      <c r="A1215" s="48">
        <v>8.0</v>
      </c>
      <c r="B1215" s="1">
        <v>2.0</v>
      </c>
      <c r="C1215" s="1">
        <v>462.0</v>
      </c>
      <c r="D1215" s="1">
        <v>0.0</v>
      </c>
      <c r="E1215" s="1">
        <v>116.0</v>
      </c>
      <c r="F1215" s="1">
        <v>13.0</v>
      </c>
      <c r="G1215" s="51">
        <f t="shared" si="438"/>
        <v>0.4204</v>
      </c>
      <c r="H1215" s="52">
        <f t="shared" si="439"/>
        <v>0.2512</v>
      </c>
      <c r="I1215" s="67">
        <f t="shared" si="440"/>
        <v>0.3358</v>
      </c>
      <c r="J1215" s="101">
        <f>J1211/J1209</f>
        <v>0.625</v>
      </c>
    </row>
    <row r="1216">
      <c r="A1216" s="48">
        <v>9.0</v>
      </c>
      <c r="B1216" s="1">
        <v>0.0</v>
      </c>
      <c r="C1216" s="1">
        <v>0.0</v>
      </c>
      <c r="D1216" s="1">
        <v>0.0</v>
      </c>
      <c r="E1216" s="1">
        <v>39.0</v>
      </c>
      <c r="F1216" s="1">
        <v>39.0</v>
      </c>
      <c r="G1216" s="51">
        <f t="shared" si="438"/>
        <v>0.072</v>
      </c>
      <c r="H1216" s="52">
        <f t="shared" si="439"/>
        <v>0.0798</v>
      </c>
      <c r="I1216" s="67">
        <f t="shared" si="440"/>
        <v>0.0759</v>
      </c>
      <c r="J1216" s="99"/>
    </row>
    <row r="1217">
      <c r="A1217" s="48">
        <v>10.0</v>
      </c>
      <c r="B1217" s="1">
        <v>3.0</v>
      </c>
      <c r="C1217" s="1">
        <v>300.0</v>
      </c>
      <c r="D1217" s="1">
        <v>3.0</v>
      </c>
      <c r="E1217" s="1">
        <v>300.0</v>
      </c>
      <c r="F1217" s="1">
        <v>33.0</v>
      </c>
      <c r="G1217" s="51">
        <f t="shared" si="438"/>
        <v>0.318</v>
      </c>
      <c r="H1217" s="52">
        <f t="shared" si="439"/>
        <v>0.318</v>
      </c>
      <c r="I1217" s="67">
        <f t="shared" si="440"/>
        <v>0.318</v>
      </c>
      <c r="J1217" s="46"/>
    </row>
    <row r="1218">
      <c r="A1218" s="43" t="s">
        <v>33</v>
      </c>
      <c r="B1218" s="92">
        <f>SUM(B1208:B1217)</f>
        <v>16</v>
      </c>
      <c r="C1218" s="93">
        <f>AVERAGE(C1208:C1217)</f>
        <v>272.2</v>
      </c>
      <c r="D1218" s="93">
        <f>SUM(D1208:D1217)</f>
        <v>10</v>
      </c>
      <c r="E1218" s="93">
        <f t="shared" ref="E1218:F1218" si="441">AVERAGE(E1208:E1217)</f>
        <v>118</v>
      </c>
      <c r="F1218" s="94">
        <f t="shared" si="441"/>
        <v>20.3</v>
      </c>
      <c r="G1218" s="95">
        <f t="shared" ref="G1218:H1218" si="442">Average(G1208:G1217)</f>
        <v>0.31864</v>
      </c>
      <c r="H1218" s="96">
        <f t="shared" si="442"/>
        <v>0.2578</v>
      </c>
      <c r="I1218" s="97">
        <f t="shared" si="440"/>
        <v>0.28822</v>
      </c>
      <c r="J1218" s="99"/>
    </row>
    <row r="1220">
      <c r="A1220" s="43"/>
      <c r="B1220" s="43" t="s">
        <v>0</v>
      </c>
      <c r="C1220" s="44" t="s">
        <v>216</v>
      </c>
      <c r="D1220" s="43" t="s">
        <v>2</v>
      </c>
      <c r="E1220" s="43" t="str">
        <f>"Game on " &amp; MATCH(MAX(I1222:I1231), I1222:I1231, 0) + ROW(I1222) - 1 &amp; ". row"
</f>
        <v>Game on 1224. row</v>
      </c>
      <c r="F1220" s="43"/>
      <c r="G1220" s="43"/>
      <c r="H1220" s="43"/>
      <c r="I1220" s="45"/>
      <c r="J1220" s="43"/>
    </row>
    <row r="1221">
      <c r="A1221" s="44" t="s">
        <v>218</v>
      </c>
      <c r="B1221" s="46" t="s">
        <v>4</v>
      </c>
      <c r="C1221" s="46" t="s">
        <v>5</v>
      </c>
      <c r="D1221" s="46" t="s">
        <v>6</v>
      </c>
      <c r="E1221" s="46" t="s">
        <v>7</v>
      </c>
      <c r="F1221" s="46" t="s">
        <v>8</v>
      </c>
      <c r="G1221" s="46"/>
      <c r="H1221" s="46"/>
      <c r="I1221" s="47"/>
      <c r="J1221" s="46"/>
    </row>
    <row r="1222">
      <c r="A1222" s="48">
        <v>1.0</v>
      </c>
      <c r="B1222" s="1">
        <v>0.0</v>
      </c>
      <c r="C1222" s="1">
        <v>25.0</v>
      </c>
      <c r="D1222" s="1">
        <v>0.0</v>
      </c>
      <c r="E1222" s="1">
        <v>59.0</v>
      </c>
      <c r="F1222" s="1">
        <v>27.0</v>
      </c>
      <c r="G1222" s="51">
        <f t="shared" ref="G1222:G1231" si="443">(B1222*0.5 + C1222/100*0.2 + (51 - F1222)/5*0.3)/10</f>
        <v>0.149</v>
      </c>
      <c r="H1222" s="52">
        <f t="shared" ref="H1222:H1231" si="444">(D1222*0.5 + E1222/100*0.2 + (51 - F1222)/5*0.3)/10</f>
        <v>0.1558</v>
      </c>
      <c r="I1222" s="67">
        <f t="shared" ref="I1222:I1232" si="445">AVERAGE(G1222,H1222)</f>
        <v>0.1524</v>
      </c>
      <c r="J1222" s="99" t="s">
        <v>15</v>
      </c>
    </row>
    <row r="1223">
      <c r="A1223" s="48">
        <v>2.0</v>
      </c>
      <c r="B1223" s="1">
        <v>2.0</v>
      </c>
      <c r="C1223" s="1">
        <v>94.0</v>
      </c>
      <c r="D1223" s="1">
        <v>0.0</v>
      </c>
      <c r="E1223" s="1">
        <v>133.0</v>
      </c>
      <c r="F1223" s="1">
        <v>7.0</v>
      </c>
      <c r="G1223" s="51">
        <f t="shared" si="443"/>
        <v>0.3828</v>
      </c>
      <c r="H1223" s="52">
        <f t="shared" si="444"/>
        <v>0.2906</v>
      </c>
      <c r="I1223" s="67">
        <f t="shared" si="445"/>
        <v>0.3367</v>
      </c>
      <c r="J1223" s="100">
        <f>B1232/10</f>
        <v>1</v>
      </c>
    </row>
    <row r="1224">
      <c r="A1224" s="48">
        <v>3.0</v>
      </c>
      <c r="B1224" s="1">
        <v>3.0</v>
      </c>
      <c r="C1224" s="1">
        <v>412.0</v>
      </c>
      <c r="D1224" s="1">
        <v>2.0</v>
      </c>
      <c r="E1224" s="1">
        <v>243.0</v>
      </c>
      <c r="F1224" s="1">
        <v>10.0</v>
      </c>
      <c r="G1224" s="51">
        <f t="shared" si="443"/>
        <v>0.4784</v>
      </c>
      <c r="H1224" s="52">
        <f t="shared" si="444"/>
        <v>0.3946</v>
      </c>
      <c r="I1224" s="67">
        <f t="shared" si="445"/>
        <v>0.4365</v>
      </c>
      <c r="J1224" s="99" t="s">
        <v>19</v>
      </c>
    </row>
    <row r="1225">
      <c r="A1225" s="48">
        <v>4.0</v>
      </c>
      <c r="B1225" s="82">
        <v>0.0</v>
      </c>
      <c r="C1225" s="42">
        <v>0.0</v>
      </c>
      <c r="D1225" s="27">
        <v>0.0</v>
      </c>
      <c r="E1225" s="27">
        <v>0.0</v>
      </c>
      <c r="F1225" s="87">
        <v>22.0</v>
      </c>
      <c r="G1225" s="51">
        <f t="shared" si="443"/>
        <v>0.174</v>
      </c>
      <c r="H1225" s="52">
        <f t="shared" si="444"/>
        <v>0.174</v>
      </c>
      <c r="I1225" s="67">
        <f t="shared" si="445"/>
        <v>0.174</v>
      </c>
      <c r="J1225" s="100">
        <f>D1232/10</f>
        <v>0.4</v>
      </c>
    </row>
    <row r="1226">
      <c r="A1226" s="48">
        <v>5.0</v>
      </c>
      <c r="B1226" s="1">
        <v>0.0</v>
      </c>
      <c r="C1226" s="1">
        <v>368.0</v>
      </c>
      <c r="D1226" s="1">
        <v>0.0</v>
      </c>
      <c r="E1226" s="1">
        <v>75.0</v>
      </c>
      <c r="F1226" s="1">
        <v>12.0</v>
      </c>
      <c r="G1226" s="51">
        <f t="shared" si="443"/>
        <v>0.3076</v>
      </c>
      <c r="H1226" s="52">
        <f t="shared" si="444"/>
        <v>0.249</v>
      </c>
      <c r="I1226" s="67">
        <f t="shared" si="445"/>
        <v>0.2783</v>
      </c>
      <c r="J1226" s="99" t="s">
        <v>23</v>
      </c>
    </row>
    <row r="1227">
      <c r="A1227" s="48">
        <v>6.0</v>
      </c>
      <c r="B1227" s="1">
        <v>0.0</v>
      </c>
      <c r="C1227" s="1">
        <v>96.0</v>
      </c>
      <c r="D1227" s="1">
        <v>0.0</v>
      </c>
      <c r="E1227" s="1">
        <v>0.0</v>
      </c>
      <c r="F1227" s="1">
        <v>32.0</v>
      </c>
      <c r="G1227" s="51">
        <f t="shared" si="443"/>
        <v>0.1332</v>
      </c>
      <c r="H1227" s="52">
        <f t="shared" si="444"/>
        <v>0.114</v>
      </c>
      <c r="I1227" s="67">
        <f t="shared" si="445"/>
        <v>0.1236</v>
      </c>
      <c r="J1227" s="101">
        <f>J1223/J1225</f>
        <v>2.5</v>
      </c>
    </row>
    <row r="1228">
      <c r="A1228" s="48">
        <v>7.0</v>
      </c>
      <c r="B1228" s="1">
        <v>2.0</v>
      </c>
      <c r="C1228" s="1">
        <v>296.0</v>
      </c>
      <c r="D1228" s="1">
        <v>2.0</v>
      </c>
      <c r="E1228" s="1">
        <v>277.0</v>
      </c>
      <c r="F1228" s="1">
        <v>18.0</v>
      </c>
      <c r="G1228" s="51">
        <f t="shared" si="443"/>
        <v>0.3572</v>
      </c>
      <c r="H1228" s="52">
        <f t="shared" si="444"/>
        <v>0.3534</v>
      </c>
      <c r="I1228" s="67">
        <f t="shared" si="445"/>
        <v>0.3553</v>
      </c>
      <c r="J1228" s="99" t="s">
        <v>27</v>
      </c>
    </row>
    <row r="1229">
      <c r="A1229" s="48">
        <v>8.0</v>
      </c>
      <c r="B1229" s="1">
        <v>0.0</v>
      </c>
      <c r="C1229" s="1">
        <v>87.0</v>
      </c>
      <c r="D1229" s="1">
        <v>0.0</v>
      </c>
      <c r="E1229" s="1">
        <v>26.0</v>
      </c>
      <c r="F1229" s="1">
        <v>26.0</v>
      </c>
      <c r="G1229" s="51">
        <f t="shared" si="443"/>
        <v>0.1674</v>
      </c>
      <c r="H1229" s="52">
        <f t="shared" si="444"/>
        <v>0.1552</v>
      </c>
      <c r="I1229" s="67">
        <f t="shared" si="445"/>
        <v>0.1613</v>
      </c>
      <c r="J1229" s="101">
        <f>J1225/J1223</f>
        <v>0.4</v>
      </c>
    </row>
    <row r="1230">
      <c r="A1230" s="48">
        <v>9.0</v>
      </c>
      <c r="B1230" s="1">
        <v>3.0</v>
      </c>
      <c r="C1230" s="1">
        <v>426.0</v>
      </c>
      <c r="D1230" s="1">
        <v>0.0</v>
      </c>
      <c r="E1230" s="1">
        <v>0.0</v>
      </c>
      <c r="F1230" s="1">
        <v>10.0</v>
      </c>
      <c r="G1230" s="51">
        <f t="shared" si="443"/>
        <v>0.4812</v>
      </c>
      <c r="H1230" s="52">
        <f t="shared" si="444"/>
        <v>0.246</v>
      </c>
      <c r="I1230" s="67">
        <f t="shared" si="445"/>
        <v>0.3636</v>
      </c>
      <c r="J1230" s="99"/>
    </row>
    <row r="1231">
      <c r="A1231" s="48">
        <v>10.0</v>
      </c>
      <c r="B1231" s="1">
        <v>0.0</v>
      </c>
      <c r="C1231" s="1">
        <v>0.0</v>
      </c>
      <c r="D1231" s="1">
        <v>0.0</v>
      </c>
      <c r="E1231" s="1">
        <v>56.0</v>
      </c>
      <c r="F1231" s="1">
        <v>49.0</v>
      </c>
      <c r="G1231" s="51">
        <f t="shared" si="443"/>
        <v>0.012</v>
      </c>
      <c r="H1231" s="52">
        <f t="shared" si="444"/>
        <v>0.0232</v>
      </c>
      <c r="I1231" s="67">
        <f t="shared" si="445"/>
        <v>0.0176</v>
      </c>
      <c r="J1231" s="46"/>
    </row>
    <row r="1232">
      <c r="A1232" s="43" t="s">
        <v>33</v>
      </c>
      <c r="B1232" s="92">
        <f>SUM(B1222:B1231)</f>
        <v>10</v>
      </c>
      <c r="C1232" s="93">
        <f>AVERAGE(C1222:C1231)</f>
        <v>180.4</v>
      </c>
      <c r="D1232" s="93">
        <f>SUM(D1222:D1231)</f>
        <v>4</v>
      </c>
      <c r="E1232" s="93">
        <f t="shared" ref="E1232:F1232" si="446">AVERAGE(E1222:E1231)</f>
        <v>86.9</v>
      </c>
      <c r="F1232" s="94">
        <f t="shared" si="446"/>
        <v>21.3</v>
      </c>
      <c r="G1232" s="95">
        <f t="shared" ref="G1232:H1232" si="447">Average(G1222:G1231)</f>
        <v>0.26428</v>
      </c>
      <c r="H1232" s="96">
        <f t="shared" si="447"/>
        <v>0.21558</v>
      </c>
      <c r="I1232" s="97">
        <f t="shared" si="445"/>
        <v>0.23993</v>
      </c>
      <c r="J1232" s="99"/>
    </row>
    <row r="1234">
      <c r="A1234" s="43"/>
      <c r="B1234" s="43" t="s">
        <v>0</v>
      </c>
      <c r="C1234" s="44" t="s">
        <v>219</v>
      </c>
      <c r="D1234" s="43" t="s">
        <v>2</v>
      </c>
      <c r="E1234" s="43" t="str">
        <f>"Game on " &amp; MATCH(MAX(I1236:I1245), I1236:I1245, 0) + ROW(I1236) - 1 &amp; ". row"
</f>
        <v>Game on 1239. row</v>
      </c>
      <c r="F1234" s="43"/>
      <c r="G1234" s="43"/>
      <c r="H1234" s="43"/>
      <c r="I1234" s="45"/>
      <c r="J1234" s="43"/>
    </row>
    <row r="1235">
      <c r="A1235" s="44" t="s">
        <v>220</v>
      </c>
      <c r="B1235" s="46" t="s">
        <v>4</v>
      </c>
      <c r="C1235" s="46" t="s">
        <v>5</v>
      </c>
      <c r="D1235" s="46" t="s">
        <v>6</v>
      </c>
      <c r="E1235" s="46" t="s">
        <v>7</v>
      </c>
      <c r="F1235" s="46" t="s">
        <v>8</v>
      </c>
      <c r="G1235" s="46"/>
      <c r="H1235" s="46"/>
      <c r="I1235" s="47"/>
      <c r="J1235" s="46"/>
    </row>
    <row r="1236">
      <c r="A1236" s="48">
        <v>1.0</v>
      </c>
      <c r="B1236" s="1">
        <v>0.0</v>
      </c>
      <c r="C1236" s="1">
        <v>118.0</v>
      </c>
      <c r="D1236" s="1">
        <v>1.0</v>
      </c>
      <c r="E1236" s="1">
        <v>160.0</v>
      </c>
      <c r="F1236" s="1">
        <v>5.0</v>
      </c>
      <c r="G1236" s="51">
        <f t="shared" ref="G1236:G1245" si="448">(B1236*0.5 + C1236/100*0.2 + (51 - F1236)/5*0.3)/10</f>
        <v>0.2996</v>
      </c>
      <c r="H1236" s="52">
        <f t="shared" ref="H1236:H1245" si="449">(D1236*0.5 + E1236/100*0.2 + (51 - F1236)/5*0.3)/10</f>
        <v>0.358</v>
      </c>
      <c r="I1236" s="67">
        <f t="shared" ref="I1236:I1245" si="450">AVERAGE(G1236,H1236)</f>
        <v>0.3288</v>
      </c>
      <c r="J1236" s="99" t="s">
        <v>15</v>
      </c>
    </row>
    <row r="1237">
      <c r="A1237" s="48">
        <v>2.0</v>
      </c>
      <c r="B1237" s="1">
        <v>0.0</v>
      </c>
      <c r="C1237" s="1">
        <v>0.0</v>
      </c>
      <c r="D1237" s="1">
        <v>0.0</v>
      </c>
      <c r="E1237" s="1">
        <v>71.0</v>
      </c>
      <c r="F1237" s="1">
        <v>13.0</v>
      </c>
      <c r="G1237" s="51">
        <f t="shared" si="448"/>
        <v>0.228</v>
      </c>
      <c r="H1237" s="52">
        <f t="shared" si="449"/>
        <v>0.2422</v>
      </c>
      <c r="I1237" s="67">
        <f t="shared" si="450"/>
        <v>0.2351</v>
      </c>
      <c r="J1237" s="100">
        <f>B1246/10</f>
        <v>1.1</v>
      </c>
    </row>
    <row r="1238">
      <c r="A1238" s="48">
        <v>3.0</v>
      </c>
      <c r="B1238" s="1">
        <v>2.0</v>
      </c>
      <c r="C1238" s="1">
        <v>363.0</v>
      </c>
      <c r="D1238" s="1">
        <v>0.0</v>
      </c>
      <c r="E1238" s="1">
        <v>0.0</v>
      </c>
      <c r="F1238" s="1">
        <v>12.0</v>
      </c>
      <c r="G1238" s="51">
        <f t="shared" si="448"/>
        <v>0.4066</v>
      </c>
      <c r="H1238" s="52">
        <f t="shared" si="449"/>
        <v>0.234</v>
      </c>
      <c r="I1238" s="67">
        <f t="shared" si="450"/>
        <v>0.3203</v>
      </c>
      <c r="J1238" s="99" t="s">
        <v>19</v>
      </c>
    </row>
    <row r="1239">
      <c r="A1239" s="48">
        <v>4.0</v>
      </c>
      <c r="B1239" s="82">
        <v>4.0</v>
      </c>
      <c r="C1239" s="42">
        <v>688.0</v>
      </c>
      <c r="D1239" s="27">
        <v>1.0</v>
      </c>
      <c r="E1239" s="27">
        <v>272.0</v>
      </c>
      <c r="F1239" s="87">
        <v>1.0</v>
      </c>
      <c r="G1239" s="51">
        <f t="shared" si="448"/>
        <v>0.6376</v>
      </c>
      <c r="H1239" s="52">
        <f t="shared" si="449"/>
        <v>0.4044</v>
      </c>
      <c r="I1239" s="67">
        <f t="shared" si="450"/>
        <v>0.521</v>
      </c>
      <c r="J1239" s="100">
        <f>D1246/10</f>
        <v>0.7</v>
      </c>
    </row>
    <row r="1240">
      <c r="A1240" s="48">
        <v>5.0</v>
      </c>
      <c r="B1240" s="1">
        <v>1.0</v>
      </c>
      <c r="C1240" s="1">
        <v>167.0</v>
      </c>
      <c r="D1240" s="1">
        <v>1.0</v>
      </c>
      <c r="E1240" s="1">
        <v>300.0</v>
      </c>
      <c r="F1240" s="1">
        <v>11.0</v>
      </c>
      <c r="G1240" s="51">
        <f t="shared" si="448"/>
        <v>0.3234</v>
      </c>
      <c r="H1240" s="52">
        <f t="shared" si="449"/>
        <v>0.35</v>
      </c>
      <c r="I1240" s="67">
        <f t="shared" si="450"/>
        <v>0.3367</v>
      </c>
      <c r="J1240" s="99" t="s">
        <v>23</v>
      </c>
    </row>
    <row r="1241">
      <c r="A1241" s="48">
        <v>6.0</v>
      </c>
      <c r="B1241" s="1">
        <v>0.0</v>
      </c>
      <c r="C1241" s="1">
        <v>271.0</v>
      </c>
      <c r="D1241" s="1">
        <v>0.0</v>
      </c>
      <c r="E1241" s="1">
        <v>114.0</v>
      </c>
      <c r="F1241" s="1">
        <v>30.0</v>
      </c>
      <c r="G1241" s="51">
        <f t="shared" si="448"/>
        <v>0.1802</v>
      </c>
      <c r="H1241" s="52">
        <f t="shared" si="449"/>
        <v>0.1488</v>
      </c>
      <c r="I1241" s="67">
        <f t="shared" si="450"/>
        <v>0.1645</v>
      </c>
      <c r="J1241" s="101">
        <f>J1237/J1239</f>
        <v>1.571428571</v>
      </c>
    </row>
    <row r="1242">
      <c r="A1242" s="48">
        <v>7.0</v>
      </c>
      <c r="B1242" s="1">
        <v>2.0</v>
      </c>
      <c r="C1242" s="1">
        <v>461.0</v>
      </c>
      <c r="D1242" s="1">
        <v>3.0</v>
      </c>
      <c r="E1242" s="1">
        <v>355.0</v>
      </c>
      <c r="F1242" s="1">
        <v>2.0</v>
      </c>
      <c r="G1242" s="51">
        <f t="shared" si="448"/>
        <v>0.4862</v>
      </c>
      <c r="H1242" s="52">
        <f t="shared" si="449"/>
        <v>0.515</v>
      </c>
      <c r="I1242" s="67">
        <f t="shared" si="450"/>
        <v>0.5006</v>
      </c>
      <c r="J1242" s="99" t="s">
        <v>27</v>
      </c>
    </row>
    <row r="1243">
      <c r="A1243" s="48">
        <v>8.0</v>
      </c>
      <c r="B1243" s="1">
        <v>0.0</v>
      </c>
      <c r="C1243" s="1">
        <v>30.0</v>
      </c>
      <c r="D1243" s="1">
        <v>1.0</v>
      </c>
      <c r="E1243" s="1">
        <v>100.0</v>
      </c>
      <c r="F1243" s="1">
        <v>32.0</v>
      </c>
      <c r="G1243" s="51">
        <f t="shared" si="448"/>
        <v>0.12</v>
      </c>
      <c r="H1243" s="52">
        <f t="shared" si="449"/>
        <v>0.184</v>
      </c>
      <c r="I1243" s="67">
        <f t="shared" si="450"/>
        <v>0.152</v>
      </c>
      <c r="J1243" s="101">
        <f>J1239/J1237</f>
        <v>0.6363636364</v>
      </c>
    </row>
    <row r="1244">
      <c r="A1244" s="48">
        <v>9.0</v>
      </c>
      <c r="B1244" s="1">
        <v>1.0</v>
      </c>
      <c r="C1244" s="1">
        <v>200.0</v>
      </c>
      <c r="D1244" s="1">
        <v>0.0</v>
      </c>
      <c r="E1244" s="1">
        <v>0.0</v>
      </c>
      <c r="F1244" s="1">
        <v>20.0</v>
      </c>
      <c r="G1244" s="51">
        <f t="shared" si="448"/>
        <v>0.276</v>
      </c>
      <c r="H1244" s="52">
        <f t="shared" si="449"/>
        <v>0.186</v>
      </c>
      <c r="I1244" s="67">
        <f t="shared" si="450"/>
        <v>0.231</v>
      </c>
      <c r="J1244" s="99"/>
    </row>
    <row r="1245">
      <c r="A1245" s="48">
        <v>10.0</v>
      </c>
      <c r="B1245" s="1">
        <v>1.0</v>
      </c>
      <c r="C1245" s="1">
        <v>204.0</v>
      </c>
      <c r="D1245" s="1">
        <v>0.0</v>
      </c>
      <c r="E1245" s="1">
        <v>0.0</v>
      </c>
      <c r="F1245" s="1">
        <v>33.0</v>
      </c>
      <c r="G1245" s="51">
        <f t="shared" si="448"/>
        <v>0.1988</v>
      </c>
      <c r="H1245" s="52">
        <f t="shared" si="449"/>
        <v>0.108</v>
      </c>
      <c r="I1245" s="67">
        <f t="shared" si="450"/>
        <v>0.1534</v>
      </c>
      <c r="J1245" s="46"/>
    </row>
    <row r="1246">
      <c r="A1246" s="43" t="s">
        <v>33</v>
      </c>
      <c r="B1246" s="92">
        <f>SUM(B1236:B1245)</f>
        <v>11</v>
      </c>
      <c r="C1246" s="93">
        <f>AVERAGE(C1236:C1245)</f>
        <v>250.2</v>
      </c>
      <c r="D1246" s="93">
        <f>SUM(D1236:D1245)</f>
        <v>7</v>
      </c>
      <c r="E1246" s="93">
        <f t="shared" ref="E1246:F1246" si="451">AVERAGE(E1236:E1245)</f>
        <v>137.2</v>
      </c>
      <c r="F1246" s="94">
        <f t="shared" si="451"/>
        <v>15.9</v>
      </c>
      <c r="G1246" s="95">
        <f t="shared" ref="G1246:I1246" si="452">Average(G1236:G1245)</f>
        <v>0.31564</v>
      </c>
      <c r="H1246" s="96">
        <f t="shared" si="452"/>
        <v>0.27304</v>
      </c>
      <c r="I1246" s="97">
        <f t="shared" si="452"/>
        <v>0.29434</v>
      </c>
      <c r="J1246" s="99"/>
    </row>
    <row r="1248">
      <c r="A1248" s="43"/>
      <c r="B1248" s="43" t="s">
        <v>0</v>
      </c>
      <c r="C1248" s="44" t="s">
        <v>210</v>
      </c>
      <c r="D1248" s="43" t="s">
        <v>2</v>
      </c>
      <c r="E1248" s="43" t="str">
        <f>"Game on " &amp; MATCH(MAX(I1250:I1259), I1250:I1259, 0) + ROW(I1250) - 1 &amp; ". row"
</f>
        <v>Game on 1253. row</v>
      </c>
      <c r="F1248" s="43"/>
      <c r="G1248" s="43"/>
      <c r="H1248" s="43"/>
      <c r="I1248" s="45"/>
      <c r="J1248" s="43"/>
    </row>
    <row r="1249">
      <c r="A1249" s="44" t="s">
        <v>221</v>
      </c>
      <c r="B1249" s="46" t="s">
        <v>4</v>
      </c>
      <c r="C1249" s="46" t="s">
        <v>5</v>
      </c>
      <c r="D1249" s="46" t="s">
        <v>6</v>
      </c>
      <c r="E1249" s="46" t="s">
        <v>7</v>
      </c>
      <c r="F1249" s="46" t="s">
        <v>8</v>
      </c>
      <c r="G1249" s="46"/>
      <c r="H1249" s="46"/>
      <c r="I1249" s="47"/>
      <c r="J1249" s="46"/>
    </row>
    <row r="1250">
      <c r="A1250" s="48">
        <v>1.0</v>
      </c>
      <c r="B1250" s="1">
        <v>1.0</v>
      </c>
      <c r="C1250" s="1">
        <v>352.0</v>
      </c>
      <c r="D1250" s="1">
        <v>1.0</v>
      </c>
      <c r="E1250" s="1">
        <v>126.0</v>
      </c>
      <c r="F1250" s="1">
        <v>19.0</v>
      </c>
      <c r="G1250" s="51">
        <f t="shared" ref="G1250:G1259" si="453">(B1250*0.5 + C1250/100*0.2 + (51 - F1250)/5*0.3)/10</f>
        <v>0.3124</v>
      </c>
      <c r="H1250" s="52">
        <f t="shared" ref="H1250:H1259" si="454">(D1250*0.5 + E1250/100*0.2 + (51 - F1250)/5*0.3)/10</f>
        <v>0.2672</v>
      </c>
      <c r="I1250" s="67">
        <f t="shared" ref="I1250:I1260" si="455">AVERAGE(G1250,H1250)</f>
        <v>0.2898</v>
      </c>
      <c r="J1250" s="99" t="s">
        <v>15</v>
      </c>
    </row>
    <row r="1251">
      <c r="A1251" s="48">
        <v>2.0</v>
      </c>
      <c r="B1251" s="1">
        <v>2.0</v>
      </c>
      <c r="C1251" s="1">
        <v>232.0</v>
      </c>
      <c r="D1251" s="1">
        <v>0.0</v>
      </c>
      <c r="E1251" s="1">
        <v>23.0</v>
      </c>
      <c r="F1251" s="1">
        <v>14.0</v>
      </c>
      <c r="G1251" s="51">
        <f t="shared" si="453"/>
        <v>0.3684</v>
      </c>
      <c r="H1251" s="52">
        <f t="shared" si="454"/>
        <v>0.2266</v>
      </c>
      <c r="I1251" s="67">
        <f t="shared" si="455"/>
        <v>0.2975</v>
      </c>
      <c r="J1251" s="100">
        <f>B1260/10</f>
        <v>1.4</v>
      </c>
    </row>
    <row r="1252">
      <c r="A1252" s="48">
        <v>3.0</v>
      </c>
      <c r="B1252" s="1">
        <v>1.0</v>
      </c>
      <c r="C1252" s="1">
        <v>75.0</v>
      </c>
      <c r="D1252" s="1">
        <v>2.0</v>
      </c>
      <c r="E1252" s="1">
        <v>236.0</v>
      </c>
      <c r="F1252" s="1">
        <v>33.0</v>
      </c>
      <c r="G1252" s="51">
        <f t="shared" si="453"/>
        <v>0.173</v>
      </c>
      <c r="H1252" s="52">
        <f t="shared" si="454"/>
        <v>0.2552</v>
      </c>
      <c r="I1252" s="67">
        <f t="shared" si="455"/>
        <v>0.2141</v>
      </c>
      <c r="J1252" s="99" t="s">
        <v>19</v>
      </c>
    </row>
    <row r="1253">
      <c r="A1253" s="48">
        <v>4.0</v>
      </c>
      <c r="B1253" s="82">
        <v>4.0</v>
      </c>
      <c r="C1253" s="42">
        <v>283.0</v>
      </c>
      <c r="D1253" s="27">
        <v>3.0</v>
      </c>
      <c r="E1253" s="27">
        <v>307.0</v>
      </c>
      <c r="F1253" s="87">
        <v>5.0</v>
      </c>
      <c r="G1253" s="51">
        <f t="shared" si="453"/>
        <v>0.5326</v>
      </c>
      <c r="H1253" s="52">
        <f t="shared" si="454"/>
        <v>0.4874</v>
      </c>
      <c r="I1253" s="67">
        <f t="shared" si="455"/>
        <v>0.51</v>
      </c>
      <c r="J1253" s="100">
        <f>D1260/10</f>
        <v>0.8</v>
      </c>
    </row>
    <row r="1254">
      <c r="A1254" s="48">
        <v>5.0</v>
      </c>
      <c r="B1254" s="1">
        <v>2.0</v>
      </c>
      <c r="C1254" s="1">
        <v>265.0</v>
      </c>
      <c r="D1254" s="1">
        <v>1.0</v>
      </c>
      <c r="E1254" s="1">
        <v>95.0</v>
      </c>
      <c r="F1254" s="1">
        <v>3.0</v>
      </c>
      <c r="G1254" s="51">
        <f t="shared" si="453"/>
        <v>0.441</v>
      </c>
      <c r="H1254" s="52">
        <f t="shared" si="454"/>
        <v>0.357</v>
      </c>
      <c r="I1254" s="67">
        <f t="shared" si="455"/>
        <v>0.399</v>
      </c>
      <c r="J1254" s="99" t="s">
        <v>23</v>
      </c>
    </row>
    <row r="1255">
      <c r="A1255" s="48">
        <v>6.0</v>
      </c>
      <c r="B1255" s="1">
        <v>1.0</v>
      </c>
      <c r="C1255" s="1">
        <v>126.0</v>
      </c>
      <c r="D1255" s="1">
        <v>1.0</v>
      </c>
      <c r="E1255" s="1">
        <v>118.0</v>
      </c>
      <c r="F1255" s="1">
        <v>27.0</v>
      </c>
      <c r="G1255" s="51">
        <f t="shared" si="453"/>
        <v>0.2192</v>
      </c>
      <c r="H1255" s="52">
        <f t="shared" si="454"/>
        <v>0.2176</v>
      </c>
      <c r="I1255" s="67">
        <f t="shared" si="455"/>
        <v>0.2184</v>
      </c>
      <c r="J1255" s="101">
        <f>J1251/J1253</f>
        <v>1.75</v>
      </c>
    </row>
    <row r="1256">
      <c r="A1256" s="48">
        <v>7.0</v>
      </c>
      <c r="B1256" s="1">
        <v>1.0</v>
      </c>
      <c r="C1256" s="1">
        <v>180.0</v>
      </c>
      <c r="D1256" s="1">
        <v>0.0</v>
      </c>
      <c r="E1256" s="1">
        <v>110.0</v>
      </c>
      <c r="F1256" s="1">
        <v>35.0</v>
      </c>
      <c r="G1256" s="51">
        <f t="shared" si="453"/>
        <v>0.182</v>
      </c>
      <c r="H1256" s="52">
        <f t="shared" si="454"/>
        <v>0.118</v>
      </c>
      <c r="I1256" s="67">
        <f t="shared" si="455"/>
        <v>0.15</v>
      </c>
      <c r="J1256" s="99" t="s">
        <v>27</v>
      </c>
    </row>
    <row r="1257">
      <c r="A1257" s="48">
        <v>8.0</v>
      </c>
      <c r="B1257" s="1">
        <v>0.0</v>
      </c>
      <c r="C1257" s="1">
        <v>0.0</v>
      </c>
      <c r="D1257" s="1">
        <v>0.0</v>
      </c>
      <c r="E1257" s="1">
        <v>114.0</v>
      </c>
      <c r="F1257" s="1">
        <v>35.0</v>
      </c>
      <c r="G1257" s="51">
        <f t="shared" si="453"/>
        <v>0.096</v>
      </c>
      <c r="H1257" s="52">
        <f t="shared" si="454"/>
        <v>0.1188</v>
      </c>
      <c r="I1257" s="67">
        <f t="shared" si="455"/>
        <v>0.1074</v>
      </c>
      <c r="J1257" s="101">
        <f>J1253/J1251</f>
        <v>0.5714285714</v>
      </c>
    </row>
    <row r="1258">
      <c r="A1258" s="48">
        <v>9.0</v>
      </c>
      <c r="B1258" s="1">
        <v>1.0</v>
      </c>
      <c r="C1258" s="1">
        <v>100.0</v>
      </c>
      <c r="D1258" s="1">
        <v>0.0</v>
      </c>
      <c r="E1258" s="1">
        <v>310.0</v>
      </c>
      <c r="F1258" s="1">
        <v>29.0</v>
      </c>
      <c r="G1258" s="51">
        <f t="shared" si="453"/>
        <v>0.202</v>
      </c>
      <c r="H1258" s="52">
        <f t="shared" si="454"/>
        <v>0.194</v>
      </c>
      <c r="I1258" s="67">
        <f t="shared" si="455"/>
        <v>0.198</v>
      </c>
      <c r="J1258" s="99"/>
    </row>
    <row r="1259">
      <c r="A1259" s="48">
        <v>10.0</v>
      </c>
      <c r="B1259" s="1">
        <v>1.0</v>
      </c>
      <c r="C1259" s="1">
        <v>100.0</v>
      </c>
      <c r="D1259" s="1">
        <v>0.0</v>
      </c>
      <c r="E1259" s="1">
        <v>75.0</v>
      </c>
      <c r="F1259" s="1">
        <v>32.0</v>
      </c>
      <c r="G1259" s="51">
        <f t="shared" si="453"/>
        <v>0.184</v>
      </c>
      <c r="H1259" s="52">
        <f t="shared" si="454"/>
        <v>0.129</v>
      </c>
      <c r="I1259" s="67">
        <f t="shared" si="455"/>
        <v>0.1565</v>
      </c>
      <c r="J1259" s="46"/>
    </row>
    <row r="1260">
      <c r="A1260" s="43" t="s">
        <v>33</v>
      </c>
      <c r="B1260" s="92">
        <f>SUM(B1250:B1259)</f>
        <v>14</v>
      </c>
      <c r="C1260" s="93">
        <f>AVERAGE(C1250:C1259)</f>
        <v>171.3</v>
      </c>
      <c r="D1260" s="93">
        <f>SUM(D1250:D1259)</f>
        <v>8</v>
      </c>
      <c r="E1260" s="93">
        <f t="shared" ref="E1260:F1260" si="456">AVERAGE(E1250:E1259)</f>
        <v>151.4</v>
      </c>
      <c r="F1260" s="94">
        <f t="shared" si="456"/>
        <v>23.2</v>
      </c>
      <c r="G1260" s="95">
        <f t="shared" ref="G1260:H1260" si="457">Average(G1250:G1259)</f>
        <v>0.27106</v>
      </c>
      <c r="H1260" s="96">
        <f t="shared" si="457"/>
        <v>0.23708</v>
      </c>
      <c r="I1260" s="97">
        <f t="shared" si="455"/>
        <v>0.25407</v>
      </c>
      <c r="J1260" s="99"/>
    </row>
    <row r="1262">
      <c r="A1262" s="43"/>
      <c r="B1262" s="43" t="s">
        <v>0</v>
      </c>
      <c r="C1262" s="44" t="s">
        <v>222</v>
      </c>
      <c r="D1262" s="43" t="s">
        <v>2</v>
      </c>
      <c r="E1262" s="43" t="str">
        <f>"Game on " &amp; MATCH(MAX(I1264:I1273), I1264:I1273, 0) + ROW(I1264) - 1 &amp; ". row"
</f>
        <v>Game on 1266. row</v>
      </c>
      <c r="F1262" s="43"/>
      <c r="G1262" s="43"/>
      <c r="H1262" s="43"/>
      <c r="I1262" s="45"/>
      <c r="J1262" s="43"/>
    </row>
    <row r="1263">
      <c r="A1263" s="44" t="s">
        <v>223</v>
      </c>
      <c r="B1263" s="46" t="s">
        <v>4</v>
      </c>
      <c r="C1263" s="46" t="s">
        <v>5</v>
      </c>
      <c r="D1263" s="46" t="s">
        <v>6</v>
      </c>
      <c r="E1263" s="46" t="s">
        <v>7</v>
      </c>
      <c r="F1263" s="46" t="s">
        <v>8</v>
      </c>
      <c r="G1263" s="46"/>
      <c r="H1263" s="46"/>
      <c r="I1263" s="47"/>
      <c r="J1263" s="46"/>
    </row>
    <row r="1264">
      <c r="A1264" s="48">
        <v>1.0</v>
      </c>
      <c r="B1264" s="1">
        <v>0.0</v>
      </c>
      <c r="C1264" s="1">
        <v>195.0</v>
      </c>
      <c r="D1264" s="1">
        <v>0.0</v>
      </c>
      <c r="E1264" s="1">
        <v>0.0</v>
      </c>
      <c r="F1264" s="1">
        <v>17.0</v>
      </c>
      <c r="G1264" s="51">
        <f t="shared" ref="G1264:G1273" si="458">(B1264*0.5 + C1264/100*0.2 + (51 - F1264)/5*0.3)/10</f>
        <v>0.243</v>
      </c>
      <c r="H1264" s="52">
        <f t="shared" ref="H1264:H1273" si="459">(D1264*0.5 + E1264/100*0.2 + (51 - F1264)/5*0.3)/10</f>
        <v>0.204</v>
      </c>
      <c r="I1264" s="67">
        <f t="shared" ref="I1264:I1274" si="460">AVERAGE(G1264,H1264)</f>
        <v>0.2235</v>
      </c>
      <c r="J1264" s="99" t="s">
        <v>15</v>
      </c>
    </row>
    <row r="1265">
      <c r="A1265" s="48">
        <v>2.0</v>
      </c>
      <c r="B1265" s="1">
        <v>0.0</v>
      </c>
      <c r="C1265" s="1">
        <v>52.0</v>
      </c>
      <c r="D1265" s="1">
        <v>0.0</v>
      </c>
      <c r="E1265" s="1">
        <v>0.0</v>
      </c>
      <c r="F1265" s="1">
        <v>46.0</v>
      </c>
      <c r="G1265" s="51">
        <f t="shared" si="458"/>
        <v>0.0404</v>
      </c>
      <c r="H1265" s="52">
        <f t="shared" si="459"/>
        <v>0.03</v>
      </c>
      <c r="I1265" s="67">
        <f t="shared" si="460"/>
        <v>0.0352</v>
      </c>
      <c r="J1265" s="100">
        <f>B1274/10</f>
        <v>1.1</v>
      </c>
    </row>
    <row r="1266">
      <c r="A1266" s="48">
        <v>3.0</v>
      </c>
      <c r="B1266" s="1">
        <v>6.0</v>
      </c>
      <c r="C1266" s="1">
        <v>475.0</v>
      </c>
      <c r="D1266" s="1">
        <v>0.0</v>
      </c>
      <c r="E1266" s="1">
        <v>59.0</v>
      </c>
      <c r="F1266" s="1">
        <v>13.0</v>
      </c>
      <c r="G1266" s="51">
        <f t="shared" si="458"/>
        <v>0.623</v>
      </c>
      <c r="H1266" s="52">
        <f t="shared" si="459"/>
        <v>0.2398</v>
      </c>
      <c r="I1266" s="67">
        <f t="shared" si="460"/>
        <v>0.4314</v>
      </c>
      <c r="J1266" s="99" t="s">
        <v>19</v>
      </c>
    </row>
    <row r="1267">
      <c r="A1267" s="48">
        <v>4.0</v>
      </c>
      <c r="B1267" s="82">
        <v>1.0</v>
      </c>
      <c r="C1267" s="42">
        <v>180.0</v>
      </c>
      <c r="D1267" s="27">
        <v>0.0</v>
      </c>
      <c r="E1267" s="27">
        <v>110.0</v>
      </c>
      <c r="F1267" s="87">
        <v>35.0</v>
      </c>
      <c r="G1267" s="51">
        <f t="shared" si="458"/>
        <v>0.182</v>
      </c>
      <c r="H1267" s="52">
        <f t="shared" si="459"/>
        <v>0.118</v>
      </c>
      <c r="I1267" s="67">
        <f t="shared" si="460"/>
        <v>0.15</v>
      </c>
      <c r="J1267" s="100">
        <f>D1274/10</f>
        <v>0.5</v>
      </c>
    </row>
    <row r="1268">
      <c r="A1268" s="48">
        <v>5.0</v>
      </c>
      <c r="B1268" s="1">
        <v>2.0</v>
      </c>
      <c r="C1268" s="1">
        <v>391.0</v>
      </c>
      <c r="D1268" s="1">
        <v>0.0</v>
      </c>
      <c r="E1268" s="1">
        <v>0.0</v>
      </c>
      <c r="F1268" s="1">
        <v>23.0</v>
      </c>
      <c r="G1268" s="51">
        <f t="shared" si="458"/>
        <v>0.3462</v>
      </c>
      <c r="H1268" s="52">
        <f t="shared" si="459"/>
        <v>0.168</v>
      </c>
      <c r="I1268" s="67">
        <f t="shared" si="460"/>
        <v>0.2571</v>
      </c>
      <c r="J1268" s="99" t="s">
        <v>23</v>
      </c>
    </row>
    <row r="1269">
      <c r="A1269" s="48">
        <v>6.0</v>
      </c>
      <c r="B1269" s="1">
        <v>0.0</v>
      </c>
      <c r="C1269" s="1">
        <v>384.0</v>
      </c>
      <c r="D1269" s="1">
        <v>0.0</v>
      </c>
      <c r="E1269" s="1">
        <v>0.0</v>
      </c>
      <c r="F1269" s="1">
        <v>7.0</v>
      </c>
      <c r="G1269" s="51">
        <f t="shared" si="458"/>
        <v>0.3408</v>
      </c>
      <c r="H1269" s="52">
        <f t="shared" si="459"/>
        <v>0.264</v>
      </c>
      <c r="I1269" s="67">
        <f t="shared" si="460"/>
        <v>0.3024</v>
      </c>
      <c r="J1269" s="101">
        <f>J1265/J1267</f>
        <v>2.2</v>
      </c>
    </row>
    <row r="1270">
      <c r="A1270" s="48">
        <v>7.0</v>
      </c>
      <c r="B1270" s="1">
        <v>0.0</v>
      </c>
      <c r="C1270" s="1">
        <v>0.0</v>
      </c>
      <c r="D1270" s="1">
        <v>0.0</v>
      </c>
      <c r="E1270" s="1">
        <v>155.0</v>
      </c>
      <c r="F1270" s="1">
        <v>47.0</v>
      </c>
      <c r="G1270" s="51">
        <f t="shared" si="458"/>
        <v>0.024</v>
      </c>
      <c r="H1270" s="52">
        <f t="shared" si="459"/>
        <v>0.055</v>
      </c>
      <c r="I1270" s="67">
        <f t="shared" si="460"/>
        <v>0.0395</v>
      </c>
      <c r="J1270" s="99" t="s">
        <v>27</v>
      </c>
    </row>
    <row r="1271">
      <c r="A1271" s="48">
        <v>8.0</v>
      </c>
      <c r="B1271" s="1">
        <v>2.0</v>
      </c>
      <c r="C1271" s="1">
        <v>266.0</v>
      </c>
      <c r="D1271" s="1">
        <v>2.0</v>
      </c>
      <c r="E1271" s="1">
        <v>200.0</v>
      </c>
      <c r="F1271" s="1">
        <v>15.0</v>
      </c>
      <c r="G1271" s="51">
        <f t="shared" si="458"/>
        <v>0.3692</v>
      </c>
      <c r="H1271" s="52">
        <f t="shared" si="459"/>
        <v>0.356</v>
      </c>
      <c r="I1271" s="67">
        <f t="shared" si="460"/>
        <v>0.3626</v>
      </c>
      <c r="J1271" s="101">
        <f>J1267/J1265</f>
        <v>0.4545454545</v>
      </c>
    </row>
    <row r="1272">
      <c r="A1272" s="48">
        <v>9.0</v>
      </c>
      <c r="B1272" s="1">
        <v>0.0</v>
      </c>
      <c r="C1272" s="1">
        <v>24.0</v>
      </c>
      <c r="D1272" s="1">
        <v>0.0</v>
      </c>
      <c r="E1272" s="1">
        <v>157.0</v>
      </c>
      <c r="F1272" s="1">
        <v>26.0</v>
      </c>
      <c r="G1272" s="51">
        <f t="shared" si="458"/>
        <v>0.1548</v>
      </c>
      <c r="H1272" s="52">
        <f t="shared" si="459"/>
        <v>0.1814</v>
      </c>
      <c r="I1272" s="67">
        <f t="shared" si="460"/>
        <v>0.1681</v>
      </c>
      <c r="J1272" s="99"/>
    </row>
    <row r="1273">
      <c r="A1273" s="48">
        <v>10.0</v>
      </c>
      <c r="B1273" s="1">
        <v>0.0</v>
      </c>
      <c r="C1273" s="1">
        <v>103.0</v>
      </c>
      <c r="D1273" s="1">
        <v>3.0</v>
      </c>
      <c r="E1273" s="1">
        <v>211.0</v>
      </c>
      <c r="F1273" s="1">
        <v>21.0</v>
      </c>
      <c r="G1273" s="51">
        <f t="shared" si="458"/>
        <v>0.2006</v>
      </c>
      <c r="H1273" s="52">
        <f t="shared" si="459"/>
        <v>0.3722</v>
      </c>
      <c r="I1273" s="67">
        <f t="shared" si="460"/>
        <v>0.2864</v>
      </c>
      <c r="J1273" s="46"/>
    </row>
    <row r="1274">
      <c r="A1274" s="43" t="s">
        <v>33</v>
      </c>
      <c r="B1274" s="92">
        <f>SUM(B1264:B1273)</f>
        <v>11</v>
      </c>
      <c r="C1274" s="93">
        <f>AVERAGE(C1264:C1273)</f>
        <v>207</v>
      </c>
      <c r="D1274" s="93">
        <f>SUM(D1264:D1273)</f>
        <v>5</v>
      </c>
      <c r="E1274" s="93">
        <f t="shared" ref="E1274:F1274" si="461">AVERAGE(E1264:E1273)</f>
        <v>89.2</v>
      </c>
      <c r="F1274" s="94">
        <f t="shared" si="461"/>
        <v>25</v>
      </c>
      <c r="G1274" s="95">
        <f t="shared" ref="G1274:H1274" si="462">Average(G1264:G1273)</f>
        <v>0.2524</v>
      </c>
      <c r="H1274" s="96">
        <f t="shared" si="462"/>
        <v>0.19884</v>
      </c>
      <c r="I1274" s="97">
        <f t="shared" si="460"/>
        <v>0.22562</v>
      </c>
      <c r="J1274" s="99"/>
    </row>
    <row r="1276">
      <c r="A1276" s="43"/>
      <c r="B1276" s="43" t="s">
        <v>0</v>
      </c>
      <c r="C1276" s="44" t="s">
        <v>224</v>
      </c>
      <c r="D1276" s="43" t="s">
        <v>2</v>
      </c>
      <c r="E1276" s="43" t="str">
        <f>"Game on " &amp; MATCH(MAX(I1278:I1287), I1278:I1287, 0) + ROW(I1278) - 1 &amp; ". row"
</f>
        <v>Game on 1282. row</v>
      </c>
      <c r="F1276" s="43"/>
      <c r="G1276" s="43"/>
      <c r="H1276" s="43"/>
      <c r="I1276" s="45"/>
      <c r="J1276" s="43"/>
    </row>
    <row r="1277">
      <c r="A1277" s="44" t="s">
        <v>225</v>
      </c>
      <c r="B1277" s="46" t="s">
        <v>4</v>
      </c>
      <c r="C1277" s="46" t="s">
        <v>5</v>
      </c>
      <c r="D1277" s="46" t="s">
        <v>6</v>
      </c>
      <c r="E1277" s="46" t="s">
        <v>7</v>
      </c>
      <c r="F1277" s="46" t="s">
        <v>8</v>
      </c>
      <c r="G1277" s="46"/>
      <c r="H1277" s="46"/>
      <c r="I1277" s="47"/>
      <c r="J1277" s="46"/>
    </row>
    <row r="1278">
      <c r="A1278" s="48">
        <v>1.0</v>
      </c>
      <c r="B1278" s="1">
        <v>2.0</v>
      </c>
      <c r="C1278" s="1">
        <v>182.0</v>
      </c>
      <c r="D1278" s="1">
        <v>1.0</v>
      </c>
      <c r="E1278" s="1">
        <v>350.0</v>
      </c>
      <c r="F1278" s="1">
        <v>5.0</v>
      </c>
      <c r="G1278" s="51">
        <f t="shared" ref="G1278:G1287" si="463">(B1278*0.5 + C1278/100*0.2 + (51 - F1278)/5*0.3)/10</f>
        <v>0.4124</v>
      </c>
      <c r="H1278" s="52">
        <f t="shared" ref="H1278:H1287" si="464">(D1278*0.5 + E1278/100*0.2 + (51 - F1278)/5*0.3)/10</f>
        <v>0.396</v>
      </c>
      <c r="I1278" s="67">
        <f t="shared" ref="I1278:I1288" si="465">AVERAGE(G1278,H1278)</f>
        <v>0.4042</v>
      </c>
      <c r="J1278" s="99" t="s">
        <v>15</v>
      </c>
    </row>
    <row r="1279">
      <c r="A1279" s="48">
        <v>2.0</v>
      </c>
      <c r="B1279" s="1">
        <v>1.0</v>
      </c>
      <c r="C1279" s="1">
        <v>175.0</v>
      </c>
      <c r="D1279" s="1">
        <v>2.0</v>
      </c>
      <c r="E1279" s="1">
        <v>219.0</v>
      </c>
      <c r="F1279" s="1">
        <v>6.0</v>
      </c>
      <c r="G1279" s="51">
        <f t="shared" si="463"/>
        <v>0.355</v>
      </c>
      <c r="H1279" s="52">
        <f t="shared" si="464"/>
        <v>0.4138</v>
      </c>
      <c r="I1279" s="67">
        <f t="shared" si="465"/>
        <v>0.3844</v>
      </c>
      <c r="J1279" s="100">
        <f>B1288/10</f>
        <v>1.2</v>
      </c>
    </row>
    <row r="1280">
      <c r="A1280" s="48">
        <v>3.0</v>
      </c>
      <c r="B1280" s="1">
        <v>0.0</v>
      </c>
      <c r="C1280" s="1">
        <v>118.0</v>
      </c>
      <c r="D1280" s="1">
        <v>2.0</v>
      </c>
      <c r="E1280" s="1">
        <v>267.0</v>
      </c>
      <c r="F1280" s="1">
        <v>19.0</v>
      </c>
      <c r="G1280" s="51">
        <f t="shared" si="463"/>
        <v>0.2156</v>
      </c>
      <c r="H1280" s="52">
        <f t="shared" si="464"/>
        <v>0.3454</v>
      </c>
      <c r="I1280" s="67">
        <f t="shared" si="465"/>
        <v>0.2805</v>
      </c>
      <c r="J1280" s="99" t="s">
        <v>19</v>
      </c>
    </row>
    <row r="1281">
      <c r="A1281" s="48">
        <v>4.0</v>
      </c>
      <c r="B1281" s="82">
        <v>3.0</v>
      </c>
      <c r="C1281" s="42">
        <v>330.0</v>
      </c>
      <c r="D1281" s="27">
        <v>0.0</v>
      </c>
      <c r="E1281" s="27">
        <v>68.0</v>
      </c>
      <c r="F1281" s="87">
        <v>20.0</v>
      </c>
      <c r="G1281" s="51">
        <f t="shared" si="463"/>
        <v>0.402</v>
      </c>
      <c r="H1281" s="52">
        <f t="shared" si="464"/>
        <v>0.1996</v>
      </c>
      <c r="I1281" s="67">
        <f t="shared" si="465"/>
        <v>0.3008</v>
      </c>
      <c r="J1281" s="100">
        <f>D1288/10</f>
        <v>0.6</v>
      </c>
    </row>
    <row r="1282">
      <c r="A1282" s="48">
        <v>5.0</v>
      </c>
      <c r="B1282" s="1">
        <v>6.0</v>
      </c>
      <c r="C1282" s="1">
        <v>852.0</v>
      </c>
      <c r="D1282" s="1">
        <v>0.0</v>
      </c>
      <c r="E1282" s="1">
        <v>145.0</v>
      </c>
      <c r="F1282" s="1">
        <v>2.0</v>
      </c>
      <c r="G1282" s="51">
        <f t="shared" si="463"/>
        <v>0.7644</v>
      </c>
      <c r="H1282" s="52">
        <f t="shared" si="464"/>
        <v>0.323</v>
      </c>
      <c r="I1282" s="67">
        <f t="shared" si="465"/>
        <v>0.5437</v>
      </c>
      <c r="J1282" s="99" t="s">
        <v>23</v>
      </c>
    </row>
    <row r="1283">
      <c r="A1283" s="48">
        <v>6.0</v>
      </c>
      <c r="B1283" s="1">
        <v>0.0</v>
      </c>
      <c r="C1283" s="1">
        <v>83.0</v>
      </c>
      <c r="D1283" s="1">
        <v>0.0</v>
      </c>
      <c r="E1283" s="1">
        <v>119.0</v>
      </c>
      <c r="F1283" s="1">
        <v>24.0</v>
      </c>
      <c r="G1283" s="51">
        <f t="shared" si="463"/>
        <v>0.1786</v>
      </c>
      <c r="H1283" s="52">
        <f t="shared" si="464"/>
        <v>0.1858</v>
      </c>
      <c r="I1283" s="67">
        <f t="shared" si="465"/>
        <v>0.1822</v>
      </c>
      <c r="J1283" s="101">
        <f>J1279/J1281</f>
        <v>2</v>
      </c>
    </row>
    <row r="1284">
      <c r="A1284" s="48">
        <v>7.0</v>
      </c>
      <c r="B1284" s="1">
        <v>0.0</v>
      </c>
      <c r="C1284" s="1">
        <v>145.0</v>
      </c>
      <c r="D1284" s="1">
        <v>1.0</v>
      </c>
      <c r="E1284" s="1">
        <v>100.0</v>
      </c>
      <c r="F1284" s="1">
        <v>23.0</v>
      </c>
      <c r="G1284" s="51">
        <f t="shared" si="463"/>
        <v>0.197</v>
      </c>
      <c r="H1284" s="52">
        <f t="shared" si="464"/>
        <v>0.238</v>
      </c>
      <c r="I1284" s="67">
        <f t="shared" si="465"/>
        <v>0.2175</v>
      </c>
      <c r="J1284" s="99" t="s">
        <v>27</v>
      </c>
    </row>
    <row r="1285">
      <c r="A1285" s="48">
        <v>8.0</v>
      </c>
      <c r="B1285" s="1">
        <v>0.0</v>
      </c>
      <c r="C1285" s="1">
        <v>82.0</v>
      </c>
      <c r="D1285" s="1">
        <v>0.0</v>
      </c>
      <c r="E1285" s="1">
        <v>0.0</v>
      </c>
      <c r="F1285" s="1">
        <v>49.0</v>
      </c>
      <c r="G1285" s="51">
        <f t="shared" si="463"/>
        <v>0.0284</v>
      </c>
      <c r="H1285" s="52">
        <f t="shared" si="464"/>
        <v>0.012</v>
      </c>
      <c r="I1285" s="67">
        <f t="shared" si="465"/>
        <v>0.0202</v>
      </c>
      <c r="J1285" s="101">
        <f>J1281/J1279</f>
        <v>0.5</v>
      </c>
    </row>
    <row r="1286">
      <c r="A1286" s="48">
        <v>9.0</v>
      </c>
      <c r="B1286" s="1">
        <v>0.0</v>
      </c>
      <c r="C1286" s="1">
        <v>0.0</v>
      </c>
      <c r="D1286" s="1">
        <v>0.0</v>
      </c>
      <c r="E1286" s="1">
        <v>32.0</v>
      </c>
      <c r="F1286" s="1">
        <v>14.0</v>
      </c>
      <c r="G1286" s="51">
        <f t="shared" si="463"/>
        <v>0.222</v>
      </c>
      <c r="H1286" s="52">
        <f t="shared" si="464"/>
        <v>0.2284</v>
      </c>
      <c r="I1286" s="67">
        <f t="shared" si="465"/>
        <v>0.2252</v>
      </c>
      <c r="J1286" s="99"/>
    </row>
    <row r="1287">
      <c r="A1287" s="48">
        <v>10.0</v>
      </c>
      <c r="B1287" s="1">
        <v>0.0</v>
      </c>
      <c r="C1287" s="1">
        <v>101.0</v>
      </c>
      <c r="D1287" s="1">
        <v>0.0</v>
      </c>
      <c r="E1287" s="1">
        <v>64.0</v>
      </c>
      <c r="F1287" s="1">
        <v>42.0</v>
      </c>
      <c r="G1287" s="51">
        <f t="shared" si="463"/>
        <v>0.0742</v>
      </c>
      <c r="H1287" s="52">
        <f t="shared" si="464"/>
        <v>0.0668</v>
      </c>
      <c r="I1287" s="67">
        <f t="shared" si="465"/>
        <v>0.0705</v>
      </c>
      <c r="J1287" s="46"/>
    </row>
    <row r="1288">
      <c r="A1288" s="43" t="s">
        <v>33</v>
      </c>
      <c r="B1288" s="92">
        <f>SUM(B1278:B1287)</f>
        <v>12</v>
      </c>
      <c r="C1288" s="93">
        <f>AVERAGE(C1278:C1287)</f>
        <v>206.8</v>
      </c>
      <c r="D1288" s="93">
        <f>SUM(D1278:D1287)</f>
        <v>6</v>
      </c>
      <c r="E1288" s="93">
        <f t="shared" ref="E1288:F1288" si="466">AVERAGE(E1278:E1287)</f>
        <v>136.4</v>
      </c>
      <c r="F1288" s="94">
        <f t="shared" si="466"/>
        <v>20.4</v>
      </c>
      <c r="G1288" s="95">
        <f t="shared" ref="G1288:H1288" si="467">Average(G1278:G1287)</f>
        <v>0.28496</v>
      </c>
      <c r="H1288" s="96">
        <f t="shared" si="467"/>
        <v>0.24088</v>
      </c>
      <c r="I1288" s="97">
        <f t="shared" si="465"/>
        <v>0.26292</v>
      </c>
      <c r="J1288" s="99"/>
    </row>
    <row r="1290">
      <c r="A1290" s="43"/>
      <c r="B1290" s="43" t="s">
        <v>0</v>
      </c>
      <c r="C1290" s="44" t="s">
        <v>226</v>
      </c>
      <c r="D1290" s="43" t="s">
        <v>2</v>
      </c>
      <c r="E1290" s="43" t="str">
        <f>"Game on " &amp; MATCH(MAX(I1292:I1301), I1292:I1301, 0) + ROW(I1292) - 1 &amp; ". row"
</f>
        <v>Game on 1296. row</v>
      </c>
      <c r="F1290" s="43"/>
      <c r="G1290" s="43"/>
      <c r="H1290" s="43"/>
      <c r="I1290" s="45"/>
      <c r="J1290" s="43"/>
    </row>
    <row r="1291">
      <c r="A1291" s="44" t="s">
        <v>227</v>
      </c>
      <c r="B1291" s="46" t="s">
        <v>4</v>
      </c>
      <c r="C1291" s="46" t="s">
        <v>5</v>
      </c>
      <c r="D1291" s="46" t="s">
        <v>6</v>
      </c>
      <c r="E1291" s="46" t="s">
        <v>7</v>
      </c>
      <c r="F1291" s="46" t="s">
        <v>8</v>
      </c>
      <c r="G1291" s="46"/>
      <c r="H1291" s="46"/>
      <c r="I1291" s="47"/>
      <c r="J1291" s="46"/>
    </row>
    <row r="1292">
      <c r="A1292" s="48">
        <v>1.0</v>
      </c>
      <c r="B1292" s="1">
        <v>0.0</v>
      </c>
      <c r="C1292" s="1">
        <v>88.0</v>
      </c>
      <c r="D1292" s="1">
        <v>1.0</v>
      </c>
      <c r="E1292" s="1">
        <v>164.0</v>
      </c>
      <c r="F1292" s="1">
        <v>23.0</v>
      </c>
      <c r="G1292" s="51">
        <f t="shared" ref="G1292:G1301" si="468">(B1292*0.5 + C1292/100*0.2 + (51 - F1292)/5*0.3)/10</f>
        <v>0.1856</v>
      </c>
      <c r="H1292" s="52">
        <f t="shared" ref="H1292:H1301" si="469">(D1292*0.5 + E1292/100*0.2 + (51 - F1292)/5*0.3)/10</f>
        <v>0.2508</v>
      </c>
      <c r="I1292" s="67">
        <f t="shared" ref="I1292:I1302" si="470">AVERAGE(G1292,H1292)</f>
        <v>0.2182</v>
      </c>
      <c r="J1292" s="99" t="s">
        <v>15</v>
      </c>
    </row>
    <row r="1293">
      <c r="A1293" s="48">
        <v>2.0</v>
      </c>
      <c r="B1293" s="1">
        <v>0.0</v>
      </c>
      <c r="C1293" s="1">
        <v>63.0</v>
      </c>
      <c r="D1293" s="1">
        <v>0.0</v>
      </c>
      <c r="E1293" s="1">
        <v>158.0</v>
      </c>
      <c r="F1293" s="1">
        <v>31.0</v>
      </c>
      <c r="G1293" s="51">
        <f t="shared" si="468"/>
        <v>0.1326</v>
      </c>
      <c r="H1293" s="52">
        <f t="shared" si="469"/>
        <v>0.1516</v>
      </c>
      <c r="I1293" s="67">
        <f t="shared" si="470"/>
        <v>0.1421</v>
      </c>
      <c r="J1293" s="100">
        <f>B1302/10</f>
        <v>2</v>
      </c>
    </row>
    <row r="1294">
      <c r="A1294" s="48">
        <v>3.0</v>
      </c>
      <c r="B1294" s="1">
        <v>5.0</v>
      </c>
      <c r="C1294" s="1">
        <v>562.0</v>
      </c>
      <c r="D1294" s="1">
        <v>2.0</v>
      </c>
      <c r="E1294" s="1">
        <v>125.0</v>
      </c>
      <c r="F1294" s="1">
        <v>1.0</v>
      </c>
      <c r="G1294" s="51">
        <f t="shared" si="468"/>
        <v>0.6624</v>
      </c>
      <c r="H1294" s="52">
        <f t="shared" si="469"/>
        <v>0.425</v>
      </c>
      <c r="I1294" s="67">
        <f t="shared" si="470"/>
        <v>0.5437</v>
      </c>
      <c r="J1294" s="99" t="s">
        <v>19</v>
      </c>
    </row>
    <row r="1295">
      <c r="A1295" s="48">
        <v>4.0</v>
      </c>
      <c r="B1295" s="82">
        <v>0.0</v>
      </c>
      <c r="C1295" s="42">
        <v>78.0</v>
      </c>
      <c r="D1295" s="27">
        <v>0.0</v>
      </c>
      <c r="E1295" s="27">
        <v>70.0</v>
      </c>
      <c r="F1295" s="87">
        <v>35.0</v>
      </c>
      <c r="G1295" s="51">
        <f t="shared" si="468"/>
        <v>0.1116</v>
      </c>
      <c r="H1295" s="52">
        <f t="shared" si="469"/>
        <v>0.11</v>
      </c>
      <c r="I1295" s="67">
        <f t="shared" si="470"/>
        <v>0.1108</v>
      </c>
      <c r="J1295" s="100">
        <f>D1302/10</f>
        <v>0.7</v>
      </c>
    </row>
    <row r="1296">
      <c r="A1296" s="48">
        <v>5.0</v>
      </c>
      <c r="B1296" s="1">
        <v>5.0</v>
      </c>
      <c r="C1296" s="1">
        <v>784.0</v>
      </c>
      <c r="D1296" s="1">
        <v>3.0</v>
      </c>
      <c r="E1296" s="1">
        <v>502.0</v>
      </c>
      <c r="F1296" s="1">
        <v>7.0</v>
      </c>
      <c r="G1296" s="51">
        <f t="shared" si="468"/>
        <v>0.6708</v>
      </c>
      <c r="H1296" s="52">
        <f t="shared" si="469"/>
        <v>0.5144</v>
      </c>
      <c r="I1296" s="67">
        <f t="shared" si="470"/>
        <v>0.5926</v>
      </c>
      <c r="J1296" s="99" t="s">
        <v>23</v>
      </c>
    </row>
    <row r="1297">
      <c r="A1297" s="48">
        <v>6.0</v>
      </c>
      <c r="B1297" s="1">
        <v>1.0</v>
      </c>
      <c r="C1297" s="1">
        <v>169.0</v>
      </c>
      <c r="D1297" s="1">
        <v>0.0</v>
      </c>
      <c r="E1297" s="1">
        <v>0.0</v>
      </c>
      <c r="F1297" s="1">
        <v>12.0</v>
      </c>
      <c r="G1297" s="51">
        <f t="shared" si="468"/>
        <v>0.3178</v>
      </c>
      <c r="H1297" s="52">
        <f t="shared" si="469"/>
        <v>0.234</v>
      </c>
      <c r="I1297" s="67">
        <f t="shared" si="470"/>
        <v>0.2759</v>
      </c>
      <c r="J1297" s="101">
        <f>J1293/J1295</f>
        <v>2.857142857</v>
      </c>
    </row>
    <row r="1298">
      <c r="A1298" s="48">
        <v>7.0</v>
      </c>
      <c r="B1298" s="1">
        <v>3.0</v>
      </c>
      <c r="C1298" s="1">
        <v>396.0</v>
      </c>
      <c r="D1298" s="1">
        <v>1.0</v>
      </c>
      <c r="E1298" s="1">
        <v>198.0</v>
      </c>
      <c r="F1298" s="1">
        <v>2.0</v>
      </c>
      <c r="G1298" s="51">
        <f t="shared" si="468"/>
        <v>0.5232</v>
      </c>
      <c r="H1298" s="52">
        <f t="shared" si="469"/>
        <v>0.3836</v>
      </c>
      <c r="I1298" s="67">
        <f t="shared" si="470"/>
        <v>0.4534</v>
      </c>
      <c r="J1298" s="99" t="s">
        <v>27</v>
      </c>
    </row>
    <row r="1299">
      <c r="A1299" s="48">
        <v>8.0</v>
      </c>
      <c r="B1299" s="1">
        <v>0.0</v>
      </c>
      <c r="C1299" s="1">
        <v>81.0</v>
      </c>
      <c r="D1299" s="1">
        <v>0.0</v>
      </c>
      <c r="E1299" s="1">
        <v>0.0</v>
      </c>
      <c r="F1299" s="1">
        <v>51.0</v>
      </c>
      <c r="G1299" s="51">
        <f t="shared" si="468"/>
        <v>0.0162</v>
      </c>
      <c r="H1299" s="52">
        <f t="shared" si="469"/>
        <v>0</v>
      </c>
      <c r="I1299" s="67">
        <f t="shared" si="470"/>
        <v>0.0081</v>
      </c>
      <c r="J1299" s="101">
        <f>J1295/J1293</f>
        <v>0.35</v>
      </c>
    </row>
    <row r="1300">
      <c r="A1300" s="48">
        <v>9.0</v>
      </c>
      <c r="B1300" s="1">
        <v>5.0</v>
      </c>
      <c r="C1300" s="1">
        <v>622.0</v>
      </c>
      <c r="D1300" s="1">
        <v>0.0</v>
      </c>
      <c r="E1300" s="1">
        <v>0.0</v>
      </c>
      <c r="F1300" s="1">
        <v>22.0</v>
      </c>
      <c r="G1300" s="51">
        <f t="shared" si="468"/>
        <v>0.5484</v>
      </c>
      <c r="H1300" s="52">
        <f t="shared" si="469"/>
        <v>0.174</v>
      </c>
      <c r="I1300" s="67">
        <f t="shared" si="470"/>
        <v>0.3612</v>
      </c>
      <c r="J1300" s="99"/>
    </row>
    <row r="1301">
      <c r="A1301" s="48">
        <v>10.0</v>
      </c>
      <c r="B1301" s="1">
        <v>1.0</v>
      </c>
      <c r="C1301" s="1">
        <v>200.0</v>
      </c>
      <c r="D1301" s="1">
        <v>0.0</v>
      </c>
      <c r="E1301" s="1">
        <v>194.0</v>
      </c>
      <c r="F1301" s="1">
        <v>26.0</v>
      </c>
      <c r="G1301" s="51">
        <f t="shared" si="468"/>
        <v>0.24</v>
      </c>
      <c r="H1301" s="52">
        <f t="shared" si="469"/>
        <v>0.1888</v>
      </c>
      <c r="I1301" s="67">
        <f t="shared" si="470"/>
        <v>0.2144</v>
      </c>
      <c r="J1301" s="46"/>
    </row>
    <row r="1302">
      <c r="A1302" s="43" t="s">
        <v>33</v>
      </c>
      <c r="B1302" s="92">
        <f>SUM(B1292:B1301)</f>
        <v>20</v>
      </c>
      <c r="C1302" s="93">
        <f>AVERAGE(C1292:C1301)</f>
        <v>304.3</v>
      </c>
      <c r="D1302" s="93">
        <f>SUM(D1292:D1301)</f>
        <v>7</v>
      </c>
      <c r="E1302" s="93">
        <f t="shared" ref="E1302:F1302" si="471">AVERAGE(E1292:E1301)</f>
        <v>141.1</v>
      </c>
      <c r="F1302" s="94">
        <f t="shared" si="471"/>
        <v>21</v>
      </c>
      <c r="G1302" s="95">
        <f t="shared" ref="G1302:H1302" si="472">Average(G1292:G1301)</f>
        <v>0.34086</v>
      </c>
      <c r="H1302" s="96">
        <f t="shared" si="472"/>
        <v>0.24322</v>
      </c>
      <c r="I1302" s="97">
        <f t="shared" si="470"/>
        <v>0.29204</v>
      </c>
      <c r="J1302" s="99"/>
    </row>
    <row r="1304">
      <c r="A1304" s="43"/>
      <c r="B1304" s="43" t="s">
        <v>0</v>
      </c>
      <c r="C1304" s="44" t="s">
        <v>228</v>
      </c>
      <c r="D1304" s="43" t="s">
        <v>2</v>
      </c>
      <c r="E1304" s="43" t="str">
        <f>"Game on " &amp; MATCH(MAX(I1306:I1315), I1306:I1315, 0) + ROW(I1306) - 1 &amp; ". row"
</f>
        <v>Game on 1310. row</v>
      </c>
      <c r="F1304" s="43"/>
      <c r="G1304" s="43"/>
      <c r="H1304" s="43"/>
      <c r="I1304" s="45"/>
      <c r="J1304" s="43"/>
    </row>
    <row r="1305">
      <c r="A1305" s="44" t="s">
        <v>229</v>
      </c>
      <c r="B1305" s="46" t="s">
        <v>4</v>
      </c>
      <c r="C1305" s="46" t="s">
        <v>5</v>
      </c>
      <c r="D1305" s="46" t="s">
        <v>6</v>
      </c>
      <c r="E1305" s="46" t="s">
        <v>7</v>
      </c>
      <c r="F1305" s="46" t="s">
        <v>8</v>
      </c>
      <c r="G1305" s="46"/>
      <c r="H1305" s="46"/>
      <c r="I1305" s="47"/>
      <c r="J1305" s="46"/>
    </row>
    <row r="1306">
      <c r="A1306" s="48">
        <v>1.0</v>
      </c>
      <c r="B1306" s="1">
        <v>2.0</v>
      </c>
      <c r="C1306" s="1">
        <v>423.0</v>
      </c>
      <c r="D1306" s="1">
        <v>0.0</v>
      </c>
      <c r="E1306" s="1">
        <v>157.0</v>
      </c>
      <c r="F1306" s="1">
        <v>11.0</v>
      </c>
      <c r="G1306" s="51">
        <f t="shared" ref="G1306:G1315" si="473">(B1306*0.5 + C1306/100*0.2 + (51 - F1306)/5*0.3)/10</f>
        <v>0.4246</v>
      </c>
      <c r="H1306" s="52">
        <f t="shared" ref="H1306:H1315" si="474">(D1306*0.5 + E1306/100*0.2 + (51 - F1306)/5*0.3)/10</f>
        <v>0.2714</v>
      </c>
      <c r="I1306" s="67">
        <f t="shared" ref="I1306:I1316" si="475">AVERAGE(G1306,H1306)</f>
        <v>0.348</v>
      </c>
      <c r="J1306" s="99" t="s">
        <v>15</v>
      </c>
    </row>
    <row r="1307">
      <c r="A1307" s="48">
        <v>2.0</v>
      </c>
      <c r="B1307" s="1">
        <v>0.0</v>
      </c>
      <c r="C1307" s="1">
        <v>33.0</v>
      </c>
      <c r="D1307" s="1">
        <v>0.0</v>
      </c>
      <c r="E1307" s="1">
        <v>0.0</v>
      </c>
      <c r="F1307" s="1">
        <v>33.0</v>
      </c>
      <c r="G1307" s="51">
        <f t="shared" si="473"/>
        <v>0.1146</v>
      </c>
      <c r="H1307" s="52">
        <f t="shared" si="474"/>
        <v>0.108</v>
      </c>
      <c r="I1307" s="67">
        <f t="shared" si="475"/>
        <v>0.1113</v>
      </c>
      <c r="J1307" s="100">
        <f>B1316/10</f>
        <v>1.1</v>
      </c>
    </row>
    <row r="1308">
      <c r="A1308" s="48">
        <v>3.0</v>
      </c>
      <c r="B1308" s="1">
        <v>0.0</v>
      </c>
      <c r="C1308" s="1">
        <v>6.0</v>
      </c>
      <c r="D1308" s="1">
        <v>1.0</v>
      </c>
      <c r="E1308" s="1">
        <v>76.0</v>
      </c>
      <c r="F1308" s="1">
        <v>46.0</v>
      </c>
      <c r="G1308" s="51">
        <f t="shared" si="473"/>
        <v>0.0312</v>
      </c>
      <c r="H1308" s="52">
        <f t="shared" si="474"/>
        <v>0.0952</v>
      </c>
      <c r="I1308" s="67">
        <f t="shared" si="475"/>
        <v>0.0632</v>
      </c>
      <c r="J1308" s="99" t="s">
        <v>19</v>
      </c>
    </row>
    <row r="1309">
      <c r="A1309" s="48">
        <v>4.0</v>
      </c>
      <c r="B1309" s="82">
        <v>1.0</v>
      </c>
      <c r="C1309" s="42">
        <v>363.0</v>
      </c>
      <c r="D1309" s="27">
        <v>1.0</v>
      </c>
      <c r="E1309" s="27">
        <v>177.0</v>
      </c>
      <c r="F1309" s="87">
        <v>3.0</v>
      </c>
      <c r="G1309" s="51">
        <f t="shared" si="473"/>
        <v>0.4106</v>
      </c>
      <c r="H1309" s="52">
        <f t="shared" si="474"/>
        <v>0.3734</v>
      </c>
      <c r="I1309" s="67">
        <f t="shared" si="475"/>
        <v>0.392</v>
      </c>
      <c r="J1309" s="100">
        <f>D1316/10</f>
        <v>0.6</v>
      </c>
    </row>
    <row r="1310">
      <c r="A1310" s="48">
        <v>5.0</v>
      </c>
      <c r="B1310" s="1">
        <v>3.0</v>
      </c>
      <c r="C1310" s="1">
        <v>840.0</v>
      </c>
      <c r="D1310" s="1">
        <v>1.0</v>
      </c>
      <c r="E1310" s="1">
        <v>60.0</v>
      </c>
      <c r="F1310" s="1">
        <v>3.0</v>
      </c>
      <c r="G1310" s="51">
        <f t="shared" si="473"/>
        <v>0.606</v>
      </c>
      <c r="H1310" s="52">
        <f t="shared" si="474"/>
        <v>0.35</v>
      </c>
      <c r="I1310" s="67">
        <f t="shared" si="475"/>
        <v>0.478</v>
      </c>
      <c r="J1310" s="99" t="s">
        <v>23</v>
      </c>
    </row>
    <row r="1311">
      <c r="A1311" s="48">
        <v>6.0</v>
      </c>
      <c r="B1311" s="1">
        <v>0.0</v>
      </c>
      <c r="C1311" s="1">
        <v>86.0</v>
      </c>
      <c r="D1311" s="1">
        <v>0.0</v>
      </c>
      <c r="E1311" s="1">
        <v>168.0</v>
      </c>
      <c r="F1311" s="1">
        <v>25.0</v>
      </c>
      <c r="G1311" s="51">
        <f t="shared" si="473"/>
        <v>0.1732</v>
      </c>
      <c r="H1311" s="52">
        <f t="shared" si="474"/>
        <v>0.1896</v>
      </c>
      <c r="I1311" s="67">
        <f t="shared" si="475"/>
        <v>0.1814</v>
      </c>
      <c r="J1311" s="101">
        <f>J1307/J1309</f>
        <v>1.833333333</v>
      </c>
    </row>
    <row r="1312">
      <c r="A1312" s="48">
        <v>7.0</v>
      </c>
      <c r="B1312" s="1">
        <v>2.0</v>
      </c>
      <c r="C1312" s="1">
        <v>379.0</v>
      </c>
      <c r="D1312" s="1">
        <v>1.0</v>
      </c>
      <c r="E1312" s="1">
        <v>184.0</v>
      </c>
      <c r="F1312" s="1">
        <v>9.0</v>
      </c>
      <c r="G1312" s="51">
        <f t="shared" si="473"/>
        <v>0.4278</v>
      </c>
      <c r="H1312" s="52">
        <f t="shared" si="474"/>
        <v>0.3388</v>
      </c>
      <c r="I1312" s="67">
        <f t="shared" si="475"/>
        <v>0.3833</v>
      </c>
      <c r="J1312" s="99" t="s">
        <v>27</v>
      </c>
    </row>
    <row r="1313">
      <c r="A1313" s="48">
        <v>8.0</v>
      </c>
      <c r="B1313" s="1">
        <v>1.0</v>
      </c>
      <c r="C1313" s="1">
        <v>181.0</v>
      </c>
      <c r="D1313" s="1">
        <v>0.0</v>
      </c>
      <c r="E1313" s="1">
        <v>51.0</v>
      </c>
      <c r="F1313" s="1">
        <v>10.0</v>
      </c>
      <c r="G1313" s="51">
        <f t="shared" si="473"/>
        <v>0.3322</v>
      </c>
      <c r="H1313" s="52">
        <f t="shared" si="474"/>
        <v>0.2562</v>
      </c>
      <c r="I1313" s="67">
        <f t="shared" si="475"/>
        <v>0.2942</v>
      </c>
      <c r="J1313" s="101">
        <f>J1309/J1307</f>
        <v>0.5454545455</v>
      </c>
    </row>
    <row r="1314">
      <c r="A1314" s="48">
        <v>9.0</v>
      </c>
      <c r="B1314" s="1">
        <v>2.0</v>
      </c>
      <c r="C1314" s="1">
        <v>317.0</v>
      </c>
      <c r="D1314" s="1">
        <v>1.0</v>
      </c>
      <c r="E1314" s="1">
        <v>16.0</v>
      </c>
      <c r="F1314" s="1">
        <v>20.0</v>
      </c>
      <c r="G1314" s="51">
        <f t="shared" si="473"/>
        <v>0.3494</v>
      </c>
      <c r="H1314" s="52">
        <f t="shared" si="474"/>
        <v>0.2392</v>
      </c>
      <c r="I1314" s="67">
        <f t="shared" si="475"/>
        <v>0.2943</v>
      </c>
      <c r="J1314" s="99"/>
    </row>
    <row r="1315">
      <c r="A1315" s="48">
        <v>10.0</v>
      </c>
      <c r="B1315" s="1">
        <v>0.0</v>
      </c>
      <c r="C1315" s="1">
        <v>44.0</v>
      </c>
      <c r="D1315" s="1">
        <v>1.0</v>
      </c>
      <c r="E1315" s="1">
        <v>51.0</v>
      </c>
      <c r="F1315" s="1">
        <v>29.0</v>
      </c>
      <c r="G1315" s="51">
        <f t="shared" si="473"/>
        <v>0.1408</v>
      </c>
      <c r="H1315" s="52">
        <f t="shared" si="474"/>
        <v>0.1922</v>
      </c>
      <c r="I1315" s="67">
        <f t="shared" si="475"/>
        <v>0.1665</v>
      </c>
      <c r="J1315" s="46"/>
    </row>
    <row r="1316">
      <c r="A1316" s="43" t="s">
        <v>33</v>
      </c>
      <c r="B1316" s="92">
        <f>SUM(B1306:B1315)</f>
        <v>11</v>
      </c>
      <c r="C1316" s="93">
        <f>AVERAGE(C1306:C1315)</f>
        <v>267.2</v>
      </c>
      <c r="D1316" s="93">
        <f>SUM(D1306:D1315)</f>
        <v>6</v>
      </c>
      <c r="E1316" s="93">
        <f t="shared" ref="E1316:F1316" si="476">AVERAGE(E1306:E1315)</f>
        <v>94</v>
      </c>
      <c r="F1316" s="94">
        <f t="shared" si="476"/>
        <v>18.9</v>
      </c>
      <c r="G1316" s="95">
        <f t="shared" ref="G1316:H1316" si="477">Average(G1306:G1315)</f>
        <v>0.30104</v>
      </c>
      <c r="H1316" s="96">
        <f t="shared" si="477"/>
        <v>0.2414</v>
      </c>
      <c r="I1316" s="97">
        <f t="shared" si="475"/>
        <v>0.27122</v>
      </c>
      <c r="J1316" s="99"/>
    </row>
    <row r="1318">
      <c r="A1318" s="43"/>
      <c r="B1318" s="43" t="s">
        <v>0</v>
      </c>
      <c r="C1318" s="44" t="s">
        <v>230</v>
      </c>
      <c r="D1318" s="43" t="s">
        <v>2</v>
      </c>
      <c r="E1318" s="43" t="str">
        <f>"Game on " &amp; MATCH(MAX(I1320:I1329), I1320:I1329, 0) + ROW(I1320) - 1 &amp; ". row"
</f>
        <v>Game on 1322. row</v>
      </c>
      <c r="F1318" s="43"/>
      <c r="G1318" s="43"/>
      <c r="H1318" s="43"/>
      <c r="I1318" s="45"/>
      <c r="J1318" s="43"/>
    </row>
    <row r="1319">
      <c r="A1319" s="44" t="s">
        <v>231</v>
      </c>
      <c r="B1319" s="46" t="s">
        <v>4</v>
      </c>
      <c r="C1319" s="46" t="s">
        <v>5</v>
      </c>
      <c r="D1319" s="46" t="s">
        <v>6</v>
      </c>
      <c r="E1319" s="46" t="s">
        <v>7</v>
      </c>
      <c r="F1319" s="46" t="s">
        <v>8</v>
      </c>
      <c r="G1319" s="46"/>
      <c r="H1319" s="46"/>
      <c r="I1319" s="47"/>
      <c r="J1319" s="46"/>
    </row>
    <row r="1320">
      <c r="A1320" s="48">
        <v>1.0</v>
      </c>
      <c r="B1320" s="1">
        <v>4.0</v>
      </c>
      <c r="C1320" s="1">
        <v>448.0</v>
      </c>
      <c r="D1320" s="1">
        <v>1.0</v>
      </c>
      <c r="E1320" s="1">
        <v>100.0</v>
      </c>
      <c r="F1320" s="1">
        <v>7.0</v>
      </c>
      <c r="G1320" s="51">
        <f t="shared" ref="G1320:G1329" si="478">(B1320*0.5 + C1320/100*0.2 + (51 - F1320)/5*0.3)/10</f>
        <v>0.5536</v>
      </c>
      <c r="H1320" s="52">
        <f t="shared" ref="H1320:H1329" si="479">(D1320*0.5 + E1320/100*0.2 + (51 - F1320)/5*0.3)/10</f>
        <v>0.334</v>
      </c>
      <c r="I1320" s="67">
        <f t="shared" ref="I1320:I1330" si="480">AVERAGE(G1320,H1320)</f>
        <v>0.4438</v>
      </c>
      <c r="J1320" s="99" t="s">
        <v>15</v>
      </c>
    </row>
    <row r="1321">
      <c r="A1321" s="48">
        <v>2.0</v>
      </c>
      <c r="B1321" s="1">
        <v>0.0</v>
      </c>
      <c r="C1321" s="1">
        <v>21.0</v>
      </c>
      <c r="D1321" s="1">
        <v>0.0</v>
      </c>
      <c r="E1321" s="1">
        <v>81.0</v>
      </c>
      <c r="F1321" s="1">
        <v>12.0</v>
      </c>
      <c r="G1321" s="51">
        <f t="shared" si="478"/>
        <v>0.2382</v>
      </c>
      <c r="H1321" s="52">
        <f t="shared" si="479"/>
        <v>0.2502</v>
      </c>
      <c r="I1321" s="67">
        <f t="shared" si="480"/>
        <v>0.2442</v>
      </c>
      <c r="J1321" s="100">
        <f>B1330/10</f>
        <v>1.3</v>
      </c>
    </row>
    <row r="1322">
      <c r="A1322" s="48">
        <v>3.0</v>
      </c>
      <c r="B1322" s="1">
        <v>5.0</v>
      </c>
      <c r="C1322" s="1">
        <v>563.0</v>
      </c>
      <c r="D1322" s="1">
        <v>2.0</v>
      </c>
      <c r="E1322" s="1">
        <v>333.0</v>
      </c>
      <c r="F1322" s="1">
        <v>3.0</v>
      </c>
      <c r="G1322" s="51">
        <f t="shared" si="478"/>
        <v>0.6506</v>
      </c>
      <c r="H1322" s="52">
        <f t="shared" si="479"/>
        <v>0.4546</v>
      </c>
      <c r="I1322" s="67">
        <f t="shared" si="480"/>
        <v>0.5526</v>
      </c>
      <c r="J1322" s="99" t="s">
        <v>19</v>
      </c>
    </row>
    <row r="1323">
      <c r="A1323" s="48">
        <v>4.0</v>
      </c>
      <c r="B1323" s="82">
        <v>1.0</v>
      </c>
      <c r="C1323" s="42">
        <v>100.0</v>
      </c>
      <c r="D1323" s="27">
        <v>1.0</v>
      </c>
      <c r="E1323" s="27">
        <v>170.0</v>
      </c>
      <c r="F1323" s="87">
        <v>42.0</v>
      </c>
      <c r="G1323" s="51">
        <f t="shared" si="478"/>
        <v>0.124</v>
      </c>
      <c r="H1323" s="52">
        <f t="shared" si="479"/>
        <v>0.138</v>
      </c>
      <c r="I1323" s="67">
        <f t="shared" si="480"/>
        <v>0.131</v>
      </c>
      <c r="J1323" s="100">
        <f>D1330/10</f>
        <v>0.5</v>
      </c>
    </row>
    <row r="1324">
      <c r="A1324" s="48">
        <v>5.0</v>
      </c>
      <c r="B1324" s="1">
        <v>0.0</v>
      </c>
      <c r="C1324" s="1">
        <v>260.0</v>
      </c>
      <c r="D1324" s="1">
        <v>0.0</v>
      </c>
      <c r="E1324" s="1">
        <v>75.0</v>
      </c>
      <c r="F1324" s="1">
        <v>28.0</v>
      </c>
      <c r="G1324" s="51">
        <f t="shared" si="478"/>
        <v>0.19</v>
      </c>
      <c r="H1324" s="52">
        <f t="shared" si="479"/>
        <v>0.153</v>
      </c>
      <c r="I1324" s="67">
        <f t="shared" si="480"/>
        <v>0.1715</v>
      </c>
      <c r="J1324" s="99" t="s">
        <v>23</v>
      </c>
    </row>
    <row r="1325">
      <c r="A1325" s="48">
        <v>6.0</v>
      </c>
      <c r="B1325" s="1">
        <v>0.0</v>
      </c>
      <c r="C1325" s="1">
        <v>96.0</v>
      </c>
      <c r="D1325" s="1">
        <v>0.0</v>
      </c>
      <c r="E1325" s="1">
        <v>34.0</v>
      </c>
      <c r="F1325" s="1">
        <v>41.0</v>
      </c>
      <c r="G1325" s="51">
        <f t="shared" si="478"/>
        <v>0.0792</v>
      </c>
      <c r="H1325" s="52">
        <f t="shared" si="479"/>
        <v>0.0668</v>
      </c>
      <c r="I1325" s="67">
        <f t="shared" si="480"/>
        <v>0.073</v>
      </c>
      <c r="J1325" s="101">
        <f>J1321/J1323</f>
        <v>2.6</v>
      </c>
    </row>
    <row r="1326">
      <c r="A1326" s="48">
        <v>7.0</v>
      </c>
      <c r="B1326" s="1">
        <v>1.0</v>
      </c>
      <c r="C1326" s="1">
        <v>224.0</v>
      </c>
      <c r="D1326" s="1">
        <v>1.0</v>
      </c>
      <c r="E1326" s="1">
        <v>218.0</v>
      </c>
      <c r="F1326" s="1">
        <v>22.0</v>
      </c>
      <c r="G1326" s="51">
        <f t="shared" si="478"/>
        <v>0.2688</v>
      </c>
      <c r="H1326" s="52">
        <f t="shared" si="479"/>
        <v>0.2676</v>
      </c>
      <c r="I1326" s="67">
        <f t="shared" si="480"/>
        <v>0.2682</v>
      </c>
      <c r="J1326" s="99" t="s">
        <v>27</v>
      </c>
    </row>
    <row r="1327">
      <c r="A1327" s="48">
        <v>8.0</v>
      </c>
      <c r="B1327" s="1">
        <v>2.0</v>
      </c>
      <c r="C1327" s="1">
        <v>386.0</v>
      </c>
      <c r="D1327" s="1">
        <v>0.0</v>
      </c>
      <c r="E1327" s="1">
        <v>111.0</v>
      </c>
      <c r="F1327" s="1">
        <v>6.0</v>
      </c>
      <c r="G1327" s="51">
        <f t="shared" si="478"/>
        <v>0.4472</v>
      </c>
      <c r="H1327" s="52">
        <f t="shared" si="479"/>
        <v>0.2922</v>
      </c>
      <c r="I1327" s="67">
        <f t="shared" si="480"/>
        <v>0.3697</v>
      </c>
      <c r="J1327" s="101">
        <f>J1323/J1321</f>
        <v>0.3846153846</v>
      </c>
    </row>
    <row r="1328">
      <c r="A1328" s="48">
        <v>9.0</v>
      </c>
      <c r="B1328" s="1"/>
      <c r="C1328" s="1"/>
      <c r="D1328" s="1"/>
      <c r="E1328" s="1"/>
      <c r="F1328" s="1"/>
      <c r="G1328" s="51">
        <f t="shared" si="478"/>
        <v>0.306</v>
      </c>
      <c r="H1328" s="52">
        <f t="shared" si="479"/>
        <v>0.306</v>
      </c>
      <c r="I1328" s="67">
        <f t="shared" si="480"/>
        <v>0.306</v>
      </c>
      <c r="J1328" s="99"/>
    </row>
    <row r="1329">
      <c r="A1329" s="48">
        <v>10.0</v>
      </c>
      <c r="B1329" s="1"/>
      <c r="C1329" s="1"/>
      <c r="D1329" s="1"/>
      <c r="E1329" s="1"/>
      <c r="F1329" s="1"/>
      <c r="G1329" s="51">
        <f t="shared" si="478"/>
        <v>0.306</v>
      </c>
      <c r="H1329" s="52">
        <f t="shared" si="479"/>
        <v>0.306</v>
      </c>
      <c r="I1329" s="67">
        <f t="shared" si="480"/>
        <v>0.306</v>
      </c>
      <c r="J1329" s="46"/>
    </row>
    <row r="1330">
      <c r="A1330" s="43" t="s">
        <v>33</v>
      </c>
      <c r="B1330" s="92">
        <f>SUM(B1320:B1329)</f>
        <v>13</v>
      </c>
      <c r="C1330" s="93">
        <f>AVERAGE(C1320:C1329)</f>
        <v>262.25</v>
      </c>
      <c r="D1330" s="93">
        <f>SUM(D1320:D1329)</f>
        <v>5</v>
      </c>
      <c r="E1330" s="93">
        <f t="shared" ref="E1330:F1330" si="481">AVERAGE(E1320:E1329)</f>
        <v>140.25</v>
      </c>
      <c r="F1330" s="94">
        <f t="shared" si="481"/>
        <v>20.125</v>
      </c>
      <c r="G1330" s="95">
        <f t="shared" ref="G1330:H1330" si="482">Average(G1320:G1329)</f>
        <v>0.31636</v>
      </c>
      <c r="H1330" s="96">
        <f t="shared" si="482"/>
        <v>0.25684</v>
      </c>
      <c r="I1330" s="97">
        <f t="shared" si="480"/>
        <v>0.2866</v>
      </c>
      <c r="J1330" s="99"/>
    </row>
    <row r="1332">
      <c r="A1332" s="43"/>
      <c r="B1332" s="43" t="s">
        <v>0</v>
      </c>
      <c r="C1332" s="44" t="s">
        <v>232</v>
      </c>
      <c r="D1332" s="43" t="s">
        <v>2</v>
      </c>
      <c r="E1332" s="43" t="str">
        <f>"Game on " &amp; MATCH(MAX(I1334:I1343), I1334:I1343, 0) + ROW(I1334) - 1 &amp; ". row"
</f>
        <v>Game on 1341. row</v>
      </c>
      <c r="F1332" s="43"/>
      <c r="G1332" s="43"/>
      <c r="H1332" s="43"/>
      <c r="I1332" s="45"/>
      <c r="J1332" s="43"/>
    </row>
    <row r="1333">
      <c r="A1333" s="44" t="s">
        <v>233</v>
      </c>
      <c r="B1333" s="46" t="s">
        <v>4</v>
      </c>
      <c r="C1333" s="46" t="s">
        <v>5</v>
      </c>
      <c r="D1333" s="46" t="s">
        <v>6</v>
      </c>
      <c r="E1333" s="46" t="s">
        <v>7</v>
      </c>
      <c r="F1333" s="46" t="s">
        <v>8</v>
      </c>
      <c r="G1333" s="46"/>
      <c r="H1333" s="46"/>
      <c r="I1333" s="47"/>
      <c r="J1333" s="46"/>
    </row>
    <row r="1334">
      <c r="A1334" s="48">
        <v>1.0</v>
      </c>
      <c r="B1334" s="1">
        <v>1.0</v>
      </c>
      <c r="C1334" s="1">
        <v>264.0</v>
      </c>
      <c r="D1334" s="1">
        <v>1.0</v>
      </c>
      <c r="E1334" s="1">
        <v>289.0</v>
      </c>
      <c r="F1334" s="1">
        <v>11.0</v>
      </c>
      <c r="G1334" s="51">
        <f t="shared" ref="G1334:G1343" si="483">(B1334*0.5 + C1334/100*0.2 + (51 - F1334)/5*0.3)/10</f>
        <v>0.3428</v>
      </c>
      <c r="H1334" s="52">
        <f t="shared" ref="H1334:H1343" si="484">(D1334*0.5 + E1334/100*0.2 + (51 - F1334)/5*0.3)/10</f>
        <v>0.3478</v>
      </c>
      <c r="I1334" s="67">
        <f t="shared" ref="I1334:I1344" si="485">AVERAGE(G1334,H1334)</f>
        <v>0.3453</v>
      </c>
      <c r="J1334" s="99" t="s">
        <v>15</v>
      </c>
    </row>
    <row r="1335">
      <c r="A1335" s="48">
        <v>2.0</v>
      </c>
      <c r="B1335" s="1">
        <v>0.0</v>
      </c>
      <c r="C1335" s="1">
        <v>100.0</v>
      </c>
      <c r="D1335" s="1">
        <v>0.0</v>
      </c>
      <c r="E1335" s="1">
        <v>77.0</v>
      </c>
      <c r="F1335" s="1">
        <v>13.0</v>
      </c>
      <c r="G1335" s="51">
        <f t="shared" si="483"/>
        <v>0.248</v>
      </c>
      <c r="H1335" s="52">
        <f t="shared" si="484"/>
        <v>0.2434</v>
      </c>
      <c r="I1335" s="67">
        <f t="shared" si="485"/>
        <v>0.2457</v>
      </c>
      <c r="J1335" s="100">
        <f>B1344/10</f>
        <v>1.1</v>
      </c>
    </row>
    <row r="1336">
      <c r="A1336" s="48">
        <v>3.0</v>
      </c>
      <c r="B1336" s="1">
        <v>0.0</v>
      </c>
      <c r="C1336" s="1">
        <v>0.0</v>
      </c>
      <c r="D1336" s="1">
        <v>0.0</v>
      </c>
      <c r="E1336" s="1">
        <v>0.0</v>
      </c>
      <c r="F1336" s="1">
        <v>33.0</v>
      </c>
      <c r="G1336" s="51">
        <f t="shared" si="483"/>
        <v>0.108</v>
      </c>
      <c r="H1336" s="52">
        <f t="shared" si="484"/>
        <v>0.108</v>
      </c>
      <c r="I1336" s="67">
        <f t="shared" si="485"/>
        <v>0.108</v>
      </c>
      <c r="J1336" s="99" t="s">
        <v>19</v>
      </c>
    </row>
    <row r="1337">
      <c r="A1337" s="48">
        <v>4.0</v>
      </c>
      <c r="B1337" s="82">
        <v>2.0</v>
      </c>
      <c r="C1337" s="42">
        <v>507.0</v>
      </c>
      <c r="D1337" s="27">
        <v>0.0</v>
      </c>
      <c r="E1337" s="27">
        <v>295.0</v>
      </c>
      <c r="F1337" s="87">
        <v>5.0</v>
      </c>
      <c r="G1337" s="51">
        <f t="shared" si="483"/>
        <v>0.4774</v>
      </c>
      <c r="H1337" s="52">
        <f t="shared" si="484"/>
        <v>0.335</v>
      </c>
      <c r="I1337" s="67">
        <f t="shared" si="485"/>
        <v>0.4062</v>
      </c>
      <c r="J1337" s="100">
        <f>D1344/10</f>
        <v>0.4</v>
      </c>
    </row>
    <row r="1338">
      <c r="A1338" s="48">
        <v>5.0</v>
      </c>
      <c r="B1338" s="1">
        <v>0.0</v>
      </c>
      <c r="C1338" s="1">
        <v>141.0</v>
      </c>
      <c r="D1338" s="1">
        <v>0.0</v>
      </c>
      <c r="E1338" s="1">
        <v>0.0</v>
      </c>
      <c r="F1338" s="1">
        <v>21.0</v>
      </c>
      <c r="G1338" s="51">
        <f t="shared" si="483"/>
        <v>0.2082</v>
      </c>
      <c r="H1338" s="52">
        <f t="shared" si="484"/>
        <v>0.18</v>
      </c>
      <c r="I1338" s="67">
        <f t="shared" si="485"/>
        <v>0.1941</v>
      </c>
      <c r="J1338" s="99" t="s">
        <v>23</v>
      </c>
    </row>
    <row r="1339">
      <c r="A1339" s="48">
        <v>6.0</v>
      </c>
      <c r="B1339" s="1">
        <v>1.0</v>
      </c>
      <c r="C1339" s="1">
        <v>134.0</v>
      </c>
      <c r="D1339" s="1">
        <v>1.0</v>
      </c>
      <c r="E1339" s="1">
        <v>147.0</v>
      </c>
      <c r="F1339" s="1">
        <v>32.0</v>
      </c>
      <c r="G1339" s="51">
        <f t="shared" si="483"/>
        <v>0.1908</v>
      </c>
      <c r="H1339" s="52">
        <f t="shared" si="484"/>
        <v>0.1934</v>
      </c>
      <c r="I1339" s="67">
        <f t="shared" si="485"/>
        <v>0.1921</v>
      </c>
      <c r="J1339" s="101">
        <f>J1335/J1337</f>
        <v>2.75</v>
      </c>
    </row>
    <row r="1340">
      <c r="A1340" s="48">
        <v>7.0</v>
      </c>
      <c r="B1340" s="1">
        <v>0.0</v>
      </c>
      <c r="C1340" s="1">
        <v>37.0</v>
      </c>
      <c r="D1340" s="1">
        <v>0.0</v>
      </c>
      <c r="E1340" s="1">
        <v>0.0</v>
      </c>
      <c r="F1340" s="1">
        <v>13.0</v>
      </c>
      <c r="G1340" s="51">
        <f t="shared" si="483"/>
        <v>0.2354</v>
      </c>
      <c r="H1340" s="52">
        <f t="shared" si="484"/>
        <v>0.228</v>
      </c>
      <c r="I1340" s="67">
        <f t="shared" si="485"/>
        <v>0.2317</v>
      </c>
      <c r="J1340" s="99" t="s">
        <v>27</v>
      </c>
    </row>
    <row r="1341">
      <c r="A1341" s="48">
        <v>8.0</v>
      </c>
      <c r="B1341" s="1">
        <v>6.0</v>
      </c>
      <c r="C1341" s="1">
        <v>682.0</v>
      </c>
      <c r="D1341" s="1">
        <v>2.0</v>
      </c>
      <c r="E1341" s="1">
        <v>222.0</v>
      </c>
      <c r="F1341" s="1">
        <v>3.0</v>
      </c>
      <c r="G1341" s="51">
        <f t="shared" si="483"/>
        <v>0.7244</v>
      </c>
      <c r="H1341" s="52">
        <f t="shared" si="484"/>
        <v>0.4324</v>
      </c>
      <c r="I1341" s="67">
        <f t="shared" si="485"/>
        <v>0.5784</v>
      </c>
      <c r="J1341" s="101">
        <f>J1337/J1335</f>
        <v>0.3636363636</v>
      </c>
    </row>
    <row r="1342">
      <c r="A1342" s="48">
        <v>9.0</v>
      </c>
      <c r="B1342" s="1">
        <v>0.0</v>
      </c>
      <c r="C1342" s="1">
        <v>146.0</v>
      </c>
      <c r="D1342" s="1">
        <v>0.0</v>
      </c>
      <c r="E1342" s="1">
        <v>0.0</v>
      </c>
      <c r="F1342" s="1">
        <v>37.0</v>
      </c>
      <c r="G1342" s="51">
        <f t="shared" si="483"/>
        <v>0.1132</v>
      </c>
      <c r="H1342" s="52">
        <f t="shared" si="484"/>
        <v>0.084</v>
      </c>
      <c r="I1342" s="67">
        <f t="shared" si="485"/>
        <v>0.0986</v>
      </c>
      <c r="J1342" s="99"/>
    </row>
    <row r="1343">
      <c r="A1343" s="48">
        <v>10.0</v>
      </c>
      <c r="B1343" s="1">
        <v>1.0</v>
      </c>
      <c r="C1343" s="1">
        <v>232.0</v>
      </c>
      <c r="D1343" s="1">
        <v>0.0</v>
      </c>
      <c r="E1343" s="1">
        <v>22.0</v>
      </c>
      <c r="F1343" s="1">
        <v>36.0</v>
      </c>
      <c r="G1343" s="51">
        <f t="shared" si="483"/>
        <v>0.1864</v>
      </c>
      <c r="H1343" s="52">
        <f t="shared" si="484"/>
        <v>0.0944</v>
      </c>
      <c r="I1343" s="67">
        <f t="shared" si="485"/>
        <v>0.1404</v>
      </c>
      <c r="J1343" s="46"/>
    </row>
    <row r="1344">
      <c r="A1344" s="43" t="s">
        <v>33</v>
      </c>
      <c r="B1344" s="92">
        <f>SUM(B1334:B1343)</f>
        <v>11</v>
      </c>
      <c r="C1344" s="93">
        <f>AVERAGE(C1334:C1343)</f>
        <v>224.3</v>
      </c>
      <c r="D1344" s="93">
        <f>SUM(D1334:D1343)</f>
        <v>4</v>
      </c>
      <c r="E1344" s="93">
        <f t="shared" ref="E1344:F1344" si="486">AVERAGE(E1334:E1343)</f>
        <v>105.2</v>
      </c>
      <c r="F1344" s="94">
        <f t="shared" si="486"/>
        <v>20.4</v>
      </c>
      <c r="G1344" s="95">
        <f t="shared" ref="G1344:H1344" si="487">Average(G1334:G1343)</f>
        <v>0.28346</v>
      </c>
      <c r="H1344" s="96">
        <f t="shared" si="487"/>
        <v>0.22464</v>
      </c>
      <c r="I1344" s="97">
        <f t="shared" si="485"/>
        <v>0.25405</v>
      </c>
      <c r="J1344" s="99"/>
    </row>
    <row r="1346">
      <c r="A1346" s="43"/>
      <c r="B1346" s="43" t="s">
        <v>0</v>
      </c>
      <c r="C1346" s="44" t="s">
        <v>234</v>
      </c>
      <c r="D1346" s="43" t="s">
        <v>2</v>
      </c>
      <c r="E1346" s="43" t="str">
        <f>"Game on " &amp; MATCH(MAX(I1348:I1357), I1348:I1357, 0) + ROW(I1348) - 1 &amp; ". row"
</f>
        <v>Game on 1357. row</v>
      </c>
      <c r="F1346" s="43"/>
      <c r="G1346" s="43"/>
      <c r="H1346" s="43"/>
      <c r="I1346" s="45"/>
      <c r="J1346" s="43"/>
    </row>
    <row r="1347">
      <c r="A1347" s="44" t="s">
        <v>235</v>
      </c>
      <c r="B1347" s="46" t="s">
        <v>4</v>
      </c>
      <c r="C1347" s="46" t="s">
        <v>5</v>
      </c>
      <c r="D1347" s="46" t="s">
        <v>6</v>
      </c>
      <c r="E1347" s="46" t="s">
        <v>7</v>
      </c>
      <c r="F1347" s="46" t="s">
        <v>8</v>
      </c>
      <c r="G1347" s="46"/>
      <c r="H1347" s="46"/>
      <c r="I1347" s="47"/>
      <c r="J1347" s="46"/>
    </row>
    <row r="1348">
      <c r="A1348" s="48">
        <v>1.0</v>
      </c>
      <c r="B1348" s="1">
        <v>0.0</v>
      </c>
      <c r="C1348" s="1">
        <v>49.0</v>
      </c>
      <c r="D1348" s="1">
        <v>0.0</v>
      </c>
      <c r="E1348" s="1">
        <v>116.0</v>
      </c>
      <c r="F1348" s="1">
        <v>31.0</v>
      </c>
      <c r="G1348" s="51">
        <f t="shared" ref="G1348:G1357" si="488">(B1348*0.5 + C1348/100*0.2 + (51 - F1348)/5*0.3)/10</f>
        <v>0.1298</v>
      </c>
      <c r="H1348" s="52">
        <f t="shared" ref="H1348:H1357" si="489">(D1348*0.5 + E1348/100*0.2 + (51 - F1348)/5*0.3)/10</f>
        <v>0.1432</v>
      </c>
      <c r="I1348" s="67">
        <f t="shared" ref="I1348:I1358" si="490">AVERAGE(G1348,H1348)</f>
        <v>0.1365</v>
      </c>
      <c r="J1348" s="99" t="s">
        <v>15</v>
      </c>
    </row>
    <row r="1349">
      <c r="A1349" s="48">
        <v>2.0</v>
      </c>
      <c r="B1349" s="1">
        <v>2.0</v>
      </c>
      <c r="C1349" s="1">
        <v>258.0</v>
      </c>
      <c r="D1349" s="1">
        <v>2.0</v>
      </c>
      <c r="E1349" s="1">
        <v>248.0</v>
      </c>
      <c r="F1349" s="1">
        <v>24.0</v>
      </c>
      <c r="G1349" s="51">
        <f t="shared" si="488"/>
        <v>0.3136</v>
      </c>
      <c r="H1349" s="52">
        <f t="shared" si="489"/>
        <v>0.3116</v>
      </c>
      <c r="I1349" s="67">
        <f t="shared" si="490"/>
        <v>0.3126</v>
      </c>
      <c r="J1349" s="100">
        <f>B1358/10</f>
        <v>1.1</v>
      </c>
    </row>
    <row r="1350">
      <c r="A1350" s="48">
        <v>3.0</v>
      </c>
      <c r="B1350" s="1">
        <v>0.0</v>
      </c>
      <c r="C1350" s="1">
        <v>55.0</v>
      </c>
      <c r="D1350" s="1">
        <v>0.0</v>
      </c>
      <c r="E1350" s="1">
        <v>26.0</v>
      </c>
      <c r="F1350" s="1">
        <v>34.0</v>
      </c>
      <c r="G1350" s="51">
        <f t="shared" si="488"/>
        <v>0.113</v>
      </c>
      <c r="H1350" s="52">
        <f t="shared" si="489"/>
        <v>0.1072</v>
      </c>
      <c r="I1350" s="67">
        <f t="shared" si="490"/>
        <v>0.1101</v>
      </c>
      <c r="J1350" s="99" t="s">
        <v>19</v>
      </c>
    </row>
    <row r="1351">
      <c r="A1351" s="48">
        <v>4.0</v>
      </c>
      <c r="B1351" s="82">
        <v>1.0</v>
      </c>
      <c r="C1351" s="42">
        <v>364.0</v>
      </c>
      <c r="D1351" s="27">
        <v>1.0</v>
      </c>
      <c r="E1351" s="27">
        <v>149.0</v>
      </c>
      <c r="F1351" s="87">
        <v>25.0</v>
      </c>
      <c r="G1351" s="51">
        <f t="shared" si="488"/>
        <v>0.2788</v>
      </c>
      <c r="H1351" s="52">
        <f t="shared" si="489"/>
        <v>0.2358</v>
      </c>
      <c r="I1351" s="67">
        <f t="shared" si="490"/>
        <v>0.2573</v>
      </c>
      <c r="J1351" s="100">
        <f>D1358/10</f>
        <v>1.4</v>
      </c>
    </row>
    <row r="1352">
      <c r="A1352" s="48">
        <v>5.0</v>
      </c>
      <c r="B1352" s="1">
        <v>1.0</v>
      </c>
      <c r="C1352" s="1">
        <v>100.0</v>
      </c>
      <c r="D1352" s="1">
        <v>1.0</v>
      </c>
      <c r="E1352" s="1">
        <v>143.0</v>
      </c>
      <c r="F1352" s="1">
        <v>16.0</v>
      </c>
      <c r="G1352" s="51">
        <f t="shared" si="488"/>
        <v>0.28</v>
      </c>
      <c r="H1352" s="52">
        <f t="shared" si="489"/>
        <v>0.2886</v>
      </c>
      <c r="I1352" s="67">
        <f t="shared" si="490"/>
        <v>0.2843</v>
      </c>
      <c r="J1352" s="99" t="s">
        <v>23</v>
      </c>
    </row>
    <row r="1353">
      <c r="A1353" s="48">
        <v>6.0</v>
      </c>
      <c r="B1353" s="1">
        <v>2.0</v>
      </c>
      <c r="C1353" s="1">
        <v>190.0</v>
      </c>
      <c r="D1353" s="1">
        <v>0.0</v>
      </c>
      <c r="E1353" s="1">
        <v>22.0</v>
      </c>
      <c r="F1353" s="1">
        <v>20.0</v>
      </c>
      <c r="G1353" s="51">
        <f t="shared" si="488"/>
        <v>0.324</v>
      </c>
      <c r="H1353" s="52">
        <f t="shared" si="489"/>
        <v>0.1904</v>
      </c>
      <c r="I1353" s="67">
        <f t="shared" si="490"/>
        <v>0.2572</v>
      </c>
      <c r="J1353" s="101">
        <f>J1349/J1351</f>
        <v>0.7857142857</v>
      </c>
    </row>
    <row r="1354">
      <c r="A1354" s="48">
        <v>7.0</v>
      </c>
      <c r="B1354" s="1">
        <v>1.0</v>
      </c>
      <c r="C1354" s="1">
        <v>139.0</v>
      </c>
      <c r="D1354" s="1">
        <v>2.0</v>
      </c>
      <c r="E1354" s="1">
        <v>282.0</v>
      </c>
      <c r="F1354" s="1">
        <v>17.0</v>
      </c>
      <c r="G1354" s="51">
        <f t="shared" si="488"/>
        <v>0.2818</v>
      </c>
      <c r="H1354" s="52">
        <f t="shared" si="489"/>
        <v>0.3604</v>
      </c>
      <c r="I1354" s="67">
        <f t="shared" si="490"/>
        <v>0.3211</v>
      </c>
      <c r="J1354" s="99" t="s">
        <v>27</v>
      </c>
    </row>
    <row r="1355">
      <c r="A1355" s="48">
        <v>8.0</v>
      </c>
      <c r="B1355" s="1">
        <v>0.0</v>
      </c>
      <c r="C1355" s="1">
        <v>0.0</v>
      </c>
      <c r="D1355" s="1">
        <v>3.0</v>
      </c>
      <c r="E1355" s="1">
        <v>361.0</v>
      </c>
      <c r="F1355" s="1">
        <v>19.0</v>
      </c>
      <c r="G1355" s="51">
        <f t="shared" si="488"/>
        <v>0.192</v>
      </c>
      <c r="H1355" s="52">
        <f t="shared" si="489"/>
        <v>0.4142</v>
      </c>
      <c r="I1355" s="67">
        <f t="shared" si="490"/>
        <v>0.3031</v>
      </c>
      <c r="J1355" s="101">
        <f>J1351/J1349</f>
        <v>1.272727273</v>
      </c>
    </row>
    <row r="1356">
      <c r="A1356" s="48">
        <v>9.0</v>
      </c>
      <c r="B1356" s="1">
        <v>1.0</v>
      </c>
      <c r="C1356" s="1">
        <v>75.0</v>
      </c>
      <c r="D1356" s="1">
        <v>4.0</v>
      </c>
      <c r="E1356" s="1">
        <v>553.0</v>
      </c>
      <c r="F1356" s="1">
        <v>19.0</v>
      </c>
      <c r="G1356" s="51">
        <f t="shared" si="488"/>
        <v>0.257</v>
      </c>
      <c r="H1356" s="52">
        <f t="shared" si="489"/>
        <v>0.5026</v>
      </c>
      <c r="I1356" s="67">
        <f t="shared" si="490"/>
        <v>0.3798</v>
      </c>
      <c r="J1356" s="99"/>
    </row>
    <row r="1357">
      <c r="A1357" s="48">
        <v>10.0</v>
      </c>
      <c r="B1357" s="1">
        <v>3.0</v>
      </c>
      <c r="C1357" s="1">
        <v>529.0</v>
      </c>
      <c r="D1357" s="1">
        <v>1.0</v>
      </c>
      <c r="E1357" s="1">
        <v>153.0</v>
      </c>
      <c r="F1357" s="1">
        <v>6.0</v>
      </c>
      <c r="G1357" s="51">
        <f t="shared" si="488"/>
        <v>0.5258</v>
      </c>
      <c r="H1357" s="52">
        <f t="shared" si="489"/>
        <v>0.3506</v>
      </c>
      <c r="I1357" s="67">
        <f t="shared" si="490"/>
        <v>0.4382</v>
      </c>
      <c r="J1357" s="46"/>
    </row>
    <row r="1358">
      <c r="A1358" s="43" t="s">
        <v>33</v>
      </c>
      <c r="B1358" s="92">
        <f>SUM(B1348:B1357)</f>
        <v>11</v>
      </c>
      <c r="C1358" s="93">
        <f>AVERAGE(C1348:C1357)</f>
        <v>175.9</v>
      </c>
      <c r="D1358" s="93">
        <f>SUM(D1348:D1357)</f>
        <v>14</v>
      </c>
      <c r="E1358" s="93">
        <f t="shared" ref="E1358:F1358" si="491">AVERAGE(E1348:E1357)</f>
        <v>205.3</v>
      </c>
      <c r="F1358" s="94">
        <f t="shared" si="491"/>
        <v>21.1</v>
      </c>
      <c r="G1358" s="95">
        <f t="shared" ref="G1358:H1358" si="492">Average(G1348:G1357)</f>
        <v>0.26958</v>
      </c>
      <c r="H1358" s="96">
        <f t="shared" si="492"/>
        <v>0.29046</v>
      </c>
      <c r="I1358" s="97">
        <f t="shared" si="490"/>
        <v>0.28002</v>
      </c>
      <c r="J1358" s="99"/>
    </row>
    <row r="1360">
      <c r="A1360" s="43"/>
      <c r="B1360" s="43" t="s">
        <v>0</v>
      </c>
      <c r="C1360" s="44" t="s">
        <v>236</v>
      </c>
      <c r="D1360" s="43" t="s">
        <v>2</v>
      </c>
      <c r="E1360" s="43" t="str">
        <f>"Game on " &amp; MATCH(MAX(I1362:I1371), I1362:I1371, 0) + ROW(I1362) - 1 &amp; ". row"
</f>
        <v>Game on 1369. row</v>
      </c>
      <c r="F1360" s="43"/>
      <c r="G1360" s="43"/>
      <c r="H1360" s="43"/>
      <c r="I1360" s="45"/>
      <c r="J1360" s="43"/>
    </row>
    <row r="1361">
      <c r="A1361" s="44" t="s">
        <v>237</v>
      </c>
      <c r="B1361" s="46" t="s">
        <v>4</v>
      </c>
      <c r="C1361" s="46" t="s">
        <v>5</v>
      </c>
      <c r="D1361" s="46" t="s">
        <v>6</v>
      </c>
      <c r="E1361" s="46" t="s">
        <v>7</v>
      </c>
      <c r="F1361" s="46" t="s">
        <v>8</v>
      </c>
      <c r="G1361" s="46"/>
      <c r="H1361" s="46"/>
      <c r="I1361" s="47"/>
      <c r="J1361" s="46"/>
    </row>
    <row r="1362">
      <c r="A1362" s="48">
        <v>1.0</v>
      </c>
      <c r="B1362" s="1">
        <v>0.0</v>
      </c>
      <c r="C1362" s="1">
        <v>165.0</v>
      </c>
      <c r="D1362" s="1">
        <v>0.0</v>
      </c>
      <c r="E1362" s="1">
        <v>105.0</v>
      </c>
      <c r="F1362" s="1">
        <v>22.0</v>
      </c>
      <c r="G1362" s="51">
        <f t="shared" ref="G1362:G1371" si="493">(B1362*0.5 + C1362/100*0.2 + (51 - F1362)/5*0.3)/10</f>
        <v>0.207</v>
      </c>
      <c r="H1362" s="52">
        <f t="shared" ref="H1362:H1371" si="494">(D1362*0.5 + E1362/100*0.2 + (51 - F1362)/5*0.3)/10</f>
        <v>0.195</v>
      </c>
      <c r="I1362" s="67">
        <f t="shared" ref="I1362:I1372" si="495">AVERAGE(G1362,H1362)</f>
        <v>0.201</v>
      </c>
      <c r="J1362" s="99" t="s">
        <v>15</v>
      </c>
    </row>
    <row r="1363">
      <c r="A1363" s="48">
        <v>2.0</v>
      </c>
      <c r="B1363" s="1">
        <v>0.0</v>
      </c>
      <c r="C1363" s="1">
        <v>316.0</v>
      </c>
      <c r="D1363" s="1">
        <v>0.0</v>
      </c>
      <c r="E1363" s="1">
        <v>109.0</v>
      </c>
      <c r="F1363" s="1">
        <v>26.0</v>
      </c>
      <c r="G1363" s="51">
        <f t="shared" si="493"/>
        <v>0.2132</v>
      </c>
      <c r="H1363" s="52">
        <f t="shared" si="494"/>
        <v>0.1718</v>
      </c>
      <c r="I1363" s="67">
        <f t="shared" si="495"/>
        <v>0.1925</v>
      </c>
      <c r="J1363" s="100">
        <f>B1372/10</f>
        <v>2</v>
      </c>
    </row>
    <row r="1364">
      <c r="A1364" s="48">
        <v>3.0</v>
      </c>
      <c r="B1364" s="1">
        <v>1.0</v>
      </c>
      <c r="C1364" s="1">
        <v>159.0</v>
      </c>
      <c r="D1364" s="1">
        <v>1.0</v>
      </c>
      <c r="E1364" s="1">
        <v>260.0</v>
      </c>
      <c r="F1364" s="1">
        <v>10.0</v>
      </c>
      <c r="G1364" s="51">
        <f t="shared" si="493"/>
        <v>0.3278</v>
      </c>
      <c r="H1364" s="52">
        <f t="shared" si="494"/>
        <v>0.348</v>
      </c>
      <c r="I1364" s="67">
        <f t="shared" si="495"/>
        <v>0.3379</v>
      </c>
      <c r="J1364" s="99" t="s">
        <v>19</v>
      </c>
    </row>
    <row r="1365">
      <c r="A1365" s="48">
        <v>4.0</v>
      </c>
      <c r="B1365" s="82">
        <v>2.0</v>
      </c>
      <c r="C1365" s="42">
        <v>464.0</v>
      </c>
      <c r="D1365" s="27">
        <v>0.0</v>
      </c>
      <c r="E1365" s="27">
        <v>23.0</v>
      </c>
      <c r="F1365" s="87">
        <v>16.0</v>
      </c>
      <c r="G1365" s="51">
        <f t="shared" si="493"/>
        <v>0.4028</v>
      </c>
      <c r="H1365" s="52">
        <f t="shared" si="494"/>
        <v>0.2146</v>
      </c>
      <c r="I1365" s="67">
        <f t="shared" si="495"/>
        <v>0.3087</v>
      </c>
      <c r="J1365" s="100">
        <f>D1372/10</f>
        <v>0.6</v>
      </c>
    </row>
    <row r="1366">
      <c r="A1366" s="48">
        <v>5.0</v>
      </c>
      <c r="B1366" s="1">
        <v>3.0</v>
      </c>
      <c r="C1366" s="1">
        <v>426.0</v>
      </c>
      <c r="D1366" s="1">
        <v>0.0</v>
      </c>
      <c r="E1366" s="1">
        <v>248.0</v>
      </c>
      <c r="F1366" s="1">
        <v>4.0</v>
      </c>
      <c r="G1366" s="51">
        <f t="shared" si="493"/>
        <v>0.5172</v>
      </c>
      <c r="H1366" s="52">
        <f t="shared" si="494"/>
        <v>0.3316</v>
      </c>
      <c r="I1366" s="67">
        <f t="shared" si="495"/>
        <v>0.4244</v>
      </c>
      <c r="J1366" s="99" t="s">
        <v>23</v>
      </c>
    </row>
    <row r="1367">
      <c r="A1367" s="48">
        <v>6.0</v>
      </c>
      <c r="B1367" s="1">
        <v>1.0</v>
      </c>
      <c r="C1367" s="1">
        <v>258.0</v>
      </c>
      <c r="D1367" s="1">
        <v>0.0</v>
      </c>
      <c r="E1367" s="1">
        <v>15.0</v>
      </c>
      <c r="F1367" s="1">
        <v>27.0</v>
      </c>
      <c r="G1367" s="51">
        <f t="shared" si="493"/>
        <v>0.2456</v>
      </c>
      <c r="H1367" s="52">
        <f t="shared" si="494"/>
        <v>0.147</v>
      </c>
      <c r="I1367" s="67">
        <f t="shared" si="495"/>
        <v>0.1963</v>
      </c>
      <c r="J1367" s="101">
        <f>J1363/J1365</f>
        <v>3.333333333</v>
      </c>
    </row>
    <row r="1368">
      <c r="A1368" s="48">
        <v>7.0</v>
      </c>
      <c r="B1368" s="1">
        <v>3.0</v>
      </c>
      <c r="C1368" s="1">
        <v>313.0</v>
      </c>
      <c r="D1368" s="1">
        <v>1.0</v>
      </c>
      <c r="E1368" s="1">
        <v>253.0</v>
      </c>
      <c r="F1368" s="1">
        <v>11.0</v>
      </c>
      <c r="G1368" s="51">
        <f t="shared" si="493"/>
        <v>0.4526</v>
      </c>
      <c r="H1368" s="52">
        <f t="shared" si="494"/>
        <v>0.3406</v>
      </c>
      <c r="I1368" s="67">
        <f t="shared" si="495"/>
        <v>0.3966</v>
      </c>
      <c r="J1368" s="99" t="s">
        <v>27</v>
      </c>
    </row>
    <row r="1369">
      <c r="A1369" s="48">
        <v>8.0</v>
      </c>
      <c r="B1369" s="1">
        <v>7.0</v>
      </c>
      <c r="C1369" s="1">
        <v>734.0</v>
      </c>
      <c r="D1369" s="1">
        <v>2.0</v>
      </c>
      <c r="E1369" s="1">
        <v>252.0</v>
      </c>
      <c r="F1369" s="1">
        <v>2.0</v>
      </c>
      <c r="G1369" s="51">
        <f t="shared" si="493"/>
        <v>0.7908</v>
      </c>
      <c r="H1369" s="52">
        <f t="shared" si="494"/>
        <v>0.4444</v>
      </c>
      <c r="I1369" s="67">
        <f t="shared" si="495"/>
        <v>0.6176</v>
      </c>
      <c r="J1369" s="101">
        <f>J1365/J1363</f>
        <v>0.3</v>
      </c>
    </row>
    <row r="1370">
      <c r="A1370" s="48">
        <v>9.0</v>
      </c>
      <c r="B1370" s="1">
        <v>0.0</v>
      </c>
      <c r="C1370" s="1">
        <v>89.0</v>
      </c>
      <c r="D1370" s="1">
        <v>1.0</v>
      </c>
      <c r="E1370" s="1">
        <v>0.0</v>
      </c>
      <c r="F1370" s="1">
        <v>31.0</v>
      </c>
      <c r="G1370" s="51">
        <f t="shared" si="493"/>
        <v>0.1378</v>
      </c>
      <c r="H1370" s="52">
        <f t="shared" si="494"/>
        <v>0.17</v>
      </c>
      <c r="I1370" s="67">
        <f t="shared" si="495"/>
        <v>0.1539</v>
      </c>
      <c r="J1370" s="99"/>
    </row>
    <row r="1371">
      <c r="A1371" s="48">
        <v>10.0</v>
      </c>
      <c r="B1371" s="1">
        <v>3.0</v>
      </c>
      <c r="C1371" s="1">
        <v>292.0</v>
      </c>
      <c r="D1371" s="1">
        <v>1.0</v>
      </c>
      <c r="E1371" s="1">
        <v>362.0</v>
      </c>
      <c r="F1371" s="1">
        <v>4.0</v>
      </c>
      <c r="G1371" s="51">
        <f t="shared" si="493"/>
        <v>0.4904</v>
      </c>
      <c r="H1371" s="52">
        <f t="shared" si="494"/>
        <v>0.4044</v>
      </c>
      <c r="I1371" s="67">
        <f t="shared" si="495"/>
        <v>0.4474</v>
      </c>
      <c r="J1371" s="46"/>
    </row>
    <row r="1372">
      <c r="A1372" s="43" t="s">
        <v>33</v>
      </c>
      <c r="B1372" s="92">
        <f>SUM(B1362:B1371)</f>
        <v>20</v>
      </c>
      <c r="C1372" s="93">
        <f>AVERAGE(C1362:C1371)</f>
        <v>321.6</v>
      </c>
      <c r="D1372" s="93">
        <f>SUM(D1362:D1371)</f>
        <v>6</v>
      </c>
      <c r="E1372" s="93">
        <f t="shared" ref="E1372:F1372" si="496">AVERAGE(E1362:E1371)</f>
        <v>162.7</v>
      </c>
      <c r="F1372" s="94">
        <f t="shared" si="496"/>
        <v>15.3</v>
      </c>
      <c r="G1372" s="95">
        <f t="shared" ref="G1372:H1372" si="497">Average(G1362:G1371)</f>
        <v>0.37852</v>
      </c>
      <c r="H1372" s="96">
        <f t="shared" si="497"/>
        <v>0.27674</v>
      </c>
      <c r="I1372" s="97">
        <f t="shared" si="495"/>
        <v>0.32763</v>
      </c>
      <c r="J1372" s="99"/>
    </row>
    <row r="1374">
      <c r="A1374" s="43"/>
      <c r="B1374" s="43" t="s">
        <v>0</v>
      </c>
      <c r="C1374" s="44" t="s">
        <v>238</v>
      </c>
      <c r="D1374" s="43" t="s">
        <v>2</v>
      </c>
      <c r="E1374" s="43" t="str">
        <f>"Game on " &amp; MATCH(MAX(I1376:I1385), I1376:I1385, 0) + ROW(I1376) - 1 &amp; ". row"
</f>
        <v>Game on 1383. row</v>
      </c>
      <c r="F1374" s="43"/>
      <c r="G1374" s="43"/>
      <c r="H1374" s="43"/>
      <c r="I1374" s="45"/>
      <c r="J1374" s="43"/>
    </row>
    <row r="1375">
      <c r="A1375" s="44" t="s">
        <v>239</v>
      </c>
      <c r="B1375" s="46" t="s">
        <v>4</v>
      </c>
      <c r="C1375" s="46" t="s">
        <v>5</v>
      </c>
      <c r="D1375" s="46" t="s">
        <v>6</v>
      </c>
      <c r="E1375" s="46" t="s">
        <v>7</v>
      </c>
      <c r="F1375" s="46" t="s">
        <v>8</v>
      </c>
      <c r="G1375" s="46"/>
      <c r="H1375" s="46"/>
      <c r="I1375" s="47"/>
      <c r="J1375" s="46"/>
    </row>
    <row r="1376">
      <c r="A1376" s="48">
        <v>1.0</v>
      </c>
      <c r="B1376" s="1">
        <v>0.0</v>
      </c>
      <c r="C1376" s="1">
        <v>183.0</v>
      </c>
      <c r="D1376" s="1">
        <v>0.0</v>
      </c>
      <c r="E1376" s="1">
        <v>57.0</v>
      </c>
      <c r="F1376" s="1">
        <v>32.0</v>
      </c>
      <c r="G1376" s="51">
        <f t="shared" ref="G1376:G1385" si="498">(B1376*0.5 + C1376/100*0.2 + (51 - F1376)/5*0.3)/10</f>
        <v>0.1506</v>
      </c>
      <c r="H1376" s="52">
        <f t="shared" ref="H1376:H1385" si="499">(D1376*0.5 + E1376/100*0.2 + (51 - F1376)/5*0.3)/10</f>
        <v>0.1254</v>
      </c>
      <c r="I1376" s="67">
        <f t="shared" ref="I1376:I1386" si="500">AVERAGE(G1376,H1376)</f>
        <v>0.138</v>
      </c>
      <c r="J1376" s="99" t="s">
        <v>15</v>
      </c>
    </row>
    <row r="1377">
      <c r="A1377" s="48">
        <v>2.0</v>
      </c>
      <c r="B1377" s="1">
        <v>0.0</v>
      </c>
      <c r="C1377" s="1">
        <v>165.0</v>
      </c>
      <c r="D1377" s="1">
        <v>0.0</v>
      </c>
      <c r="E1377" s="1">
        <v>94.0</v>
      </c>
      <c r="F1377" s="1">
        <v>29.0</v>
      </c>
      <c r="G1377" s="51">
        <f t="shared" si="498"/>
        <v>0.165</v>
      </c>
      <c r="H1377" s="52">
        <f t="shared" si="499"/>
        <v>0.1508</v>
      </c>
      <c r="I1377" s="67">
        <f t="shared" si="500"/>
        <v>0.1579</v>
      </c>
      <c r="J1377" s="100">
        <f>B1386/10</f>
        <v>0.8</v>
      </c>
    </row>
    <row r="1378">
      <c r="A1378" s="48">
        <v>3.0</v>
      </c>
      <c r="B1378" s="1">
        <v>1.0</v>
      </c>
      <c r="C1378" s="1">
        <v>118.0</v>
      </c>
      <c r="D1378" s="1">
        <v>0.0</v>
      </c>
      <c r="E1378" s="1">
        <v>0.0</v>
      </c>
      <c r="F1378" s="1">
        <v>37.0</v>
      </c>
      <c r="G1378" s="51">
        <f t="shared" si="498"/>
        <v>0.1576</v>
      </c>
      <c r="H1378" s="52">
        <f t="shared" si="499"/>
        <v>0.084</v>
      </c>
      <c r="I1378" s="67">
        <f t="shared" si="500"/>
        <v>0.1208</v>
      </c>
      <c r="J1378" s="99" t="s">
        <v>19</v>
      </c>
    </row>
    <row r="1379">
      <c r="A1379" s="48">
        <v>4.0</v>
      </c>
      <c r="B1379" s="82">
        <v>0.0</v>
      </c>
      <c r="C1379" s="42">
        <v>65.0</v>
      </c>
      <c r="D1379" s="27">
        <v>1.0</v>
      </c>
      <c r="E1379" s="27">
        <v>100.0</v>
      </c>
      <c r="F1379" s="87">
        <v>30.0</v>
      </c>
      <c r="G1379" s="51">
        <f t="shared" si="498"/>
        <v>0.139</v>
      </c>
      <c r="H1379" s="52">
        <f t="shared" si="499"/>
        <v>0.196</v>
      </c>
      <c r="I1379" s="67">
        <f t="shared" si="500"/>
        <v>0.1675</v>
      </c>
      <c r="J1379" s="100">
        <f>D1386/10</f>
        <v>0.7</v>
      </c>
    </row>
    <row r="1380">
      <c r="A1380" s="48">
        <v>5.0</v>
      </c>
      <c r="B1380" s="1">
        <v>0.0</v>
      </c>
      <c r="C1380" s="1">
        <v>34.0</v>
      </c>
      <c r="D1380" s="1">
        <v>1.0</v>
      </c>
      <c r="E1380" s="1">
        <v>203.0</v>
      </c>
      <c r="F1380" s="1">
        <v>37.0</v>
      </c>
      <c r="G1380" s="51">
        <f t="shared" si="498"/>
        <v>0.0908</v>
      </c>
      <c r="H1380" s="52">
        <f t="shared" si="499"/>
        <v>0.1746</v>
      </c>
      <c r="I1380" s="67">
        <f t="shared" si="500"/>
        <v>0.1327</v>
      </c>
      <c r="J1380" s="99" t="s">
        <v>23</v>
      </c>
    </row>
    <row r="1381">
      <c r="A1381" s="48">
        <v>6.0</v>
      </c>
      <c r="B1381" s="1">
        <v>2.0</v>
      </c>
      <c r="C1381" s="1">
        <v>433.0</v>
      </c>
      <c r="D1381" s="1">
        <v>0.0</v>
      </c>
      <c r="E1381" s="1">
        <v>211.0</v>
      </c>
      <c r="F1381" s="1">
        <v>27.0</v>
      </c>
      <c r="G1381" s="51">
        <f t="shared" si="498"/>
        <v>0.3306</v>
      </c>
      <c r="H1381" s="52">
        <f t="shared" si="499"/>
        <v>0.1862</v>
      </c>
      <c r="I1381" s="67">
        <f t="shared" si="500"/>
        <v>0.2584</v>
      </c>
      <c r="J1381" s="101">
        <f>J1377/J1379</f>
        <v>1.142857143</v>
      </c>
    </row>
    <row r="1382">
      <c r="A1382" s="48">
        <v>7.0</v>
      </c>
      <c r="B1382" s="1">
        <v>1.0</v>
      </c>
      <c r="C1382" s="1">
        <v>460.0</v>
      </c>
      <c r="D1382" s="1">
        <v>0.0</v>
      </c>
      <c r="E1382" s="1">
        <v>94.0</v>
      </c>
      <c r="F1382" s="1">
        <v>23.0</v>
      </c>
      <c r="G1382" s="51">
        <f t="shared" si="498"/>
        <v>0.31</v>
      </c>
      <c r="H1382" s="52">
        <f t="shared" si="499"/>
        <v>0.1868</v>
      </c>
      <c r="I1382" s="67">
        <f t="shared" si="500"/>
        <v>0.2484</v>
      </c>
      <c r="J1382" s="99" t="s">
        <v>27</v>
      </c>
    </row>
    <row r="1383">
      <c r="A1383" s="48">
        <v>8.0</v>
      </c>
      <c r="B1383" s="1">
        <v>4.0</v>
      </c>
      <c r="C1383" s="1">
        <v>514.0</v>
      </c>
      <c r="D1383" s="1">
        <v>4.0</v>
      </c>
      <c r="E1383" s="1">
        <v>410.0</v>
      </c>
      <c r="F1383" s="1">
        <v>1.0</v>
      </c>
      <c r="G1383" s="51">
        <f t="shared" si="498"/>
        <v>0.6028</v>
      </c>
      <c r="H1383" s="52">
        <f t="shared" si="499"/>
        <v>0.582</v>
      </c>
      <c r="I1383" s="67">
        <f t="shared" si="500"/>
        <v>0.5924</v>
      </c>
      <c r="J1383" s="101">
        <f>J1379/J1377</f>
        <v>0.875</v>
      </c>
    </row>
    <row r="1384">
      <c r="A1384" s="48">
        <v>9.0</v>
      </c>
      <c r="B1384" s="1">
        <v>0.0</v>
      </c>
      <c r="C1384" s="1">
        <v>28.0</v>
      </c>
      <c r="D1384" s="1">
        <v>0.0</v>
      </c>
      <c r="E1384" s="1">
        <v>0.0</v>
      </c>
      <c r="F1384" s="1">
        <v>37.0</v>
      </c>
      <c r="G1384" s="51">
        <f t="shared" si="498"/>
        <v>0.0896</v>
      </c>
      <c r="H1384" s="52">
        <f t="shared" si="499"/>
        <v>0.084</v>
      </c>
      <c r="I1384" s="67">
        <f t="shared" si="500"/>
        <v>0.0868</v>
      </c>
      <c r="J1384" s="99"/>
    </row>
    <row r="1385">
      <c r="A1385" s="48">
        <v>10.0</v>
      </c>
      <c r="B1385" s="1">
        <v>0.0</v>
      </c>
      <c r="C1385" s="1">
        <v>89.0</v>
      </c>
      <c r="D1385" s="1">
        <v>1.0</v>
      </c>
      <c r="E1385" s="1">
        <v>102.0</v>
      </c>
      <c r="F1385" s="1">
        <v>31.0</v>
      </c>
      <c r="G1385" s="51">
        <f t="shared" si="498"/>
        <v>0.1378</v>
      </c>
      <c r="H1385" s="52">
        <f t="shared" si="499"/>
        <v>0.1904</v>
      </c>
      <c r="I1385" s="67">
        <f t="shared" si="500"/>
        <v>0.1641</v>
      </c>
      <c r="J1385" s="46"/>
    </row>
    <row r="1386">
      <c r="A1386" s="43" t="s">
        <v>33</v>
      </c>
      <c r="B1386" s="92">
        <f>SUM(B1376:B1385)</f>
        <v>8</v>
      </c>
      <c r="C1386" s="93">
        <f>AVERAGE(C1376:C1385)</f>
        <v>208.9</v>
      </c>
      <c r="D1386" s="93">
        <f>SUM(D1376:D1385)</f>
        <v>7</v>
      </c>
      <c r="E1386" s="93">
        <f t="shared" ref="E1386:F1386" si="501">AVERAGE(E1376:E1385)</f>
        <v>127.1</v>
      </c>
      <c r="F1386" s="94">
        <f t="shared" si="501"/>
        <v>28.4</v>
      </c>
      <c r="G1386" s="95">
        <f t="shared" ref="G1386:H1386" si="502">Average(G1376:G1385)</f>
        <v>0.21738</v>
      </c>
      <c r="H1386" s="96">
        <f t="shared" si="502"/>
        <v>0.19602</v>
      </c>
      <c r="I1386" s="97">
        <f t="shared" si="500"/>
        <v>0.2067</v>
      </c>
      <c r="J1386" s="99"/>
    </row>
    <row r="1388">
      <c r="A1388" s="43"/>
      <c r="B1388" s="43" t="s">
        <v>0</v>
      </c>
      <c r="C1388" s="44" t="s">
        <v>240</v>
      </c>
      <c r="D1388" s="43" t="s">
        <v>2</v>
      </c>
      <c r="E1388" s="43" t="str">
        <f>"Game on " &amp; MATCH(MAX(I1390:I1399), I1390:I1399, 0) + ROW(I1390) - 1 &amp; ". row"
</f>
        <v>Game on 1397. row</v>
      </c>
      <c r="F1388" s="43"/>
      <c r="G1388" s="43"/>
      <c r="H1388" s="43"/>
      <c r="I1388" s="45"/>
      <c r="J1388" s="43"/>
    </row>
    <row r="1389">
      <c r="A1389" s="44" t="s">
        <v>241</v>
      </c>
      <c r="B1389" s="46" t="s">
        <v>4</v>
      </c>
      <c r="C1389" s="46" t="s">
        <v>5</v>
      </c>
      <c r="D1389" s="46" t="s">
        <v>6</v>
      </c>
      <c r="E1389" s="46" t="s">
        <v>7</v>
      </c>
      <c r="F1389" s="46" t="s">
        <v>8</v>
      </c>
      <c r="G1389" s="46"/>
      <c r="H1389" s="46"/>
      <c r="I1389" s="47"/>
      <c r="J1389" s="46"/>
    </row>
    <row r="1390">
      <c r="A1390" s="48">
        <v>1.0</v>
      </c>
      <c r="B1390" s="1">
        <v>0.0</v>
      </c>
      <c r="C1390" s="1">
        <v>179.0</v>
      </c>
      <c r="D1390" s="1">
        <v>0.0</v>
      </c>
      <c r="E1390" s="1">
        <v>49.0</v>
      </c>
      <c r="F1390" s="1">
        <v>7.0</v>
      </c>
      <c r="G1390" s="51">
        <f t="shared" ref="G1390:G1399" si="503">(B1390*0.5 + C1390/100*0.2 + (51 - F1390)/5*0.3)/10</f>
        <v>0.2998</v>
      </c>
      <c r="H1390" s="52">
        <f t="shared" ref="H1390:H1399" si="504">(D1390*0.5 + E1390/100*0.2 + (51 - F1390)/5*0.3)/10</f>
        <v>0.2738</v>
      </c>
      <c r="I1390" s="67">
        <f t="shared" ref="I1390:I1400" si="505">AVERAGE(G1390,H1390)</f>
        <v>0.2868</v>
      </c>
      <c r="J1390" s="99" t="s">
        <v>15</v>
      </c>
    </row>
    <row r="1391">
      <c r="A1391" s="48">
        <v>2.0</v>
      </c>
      <c r="B1391" s="1">
        <v>0.0</v>
      </c>
      <c r="C1391" s="1">
        <v>0.0</v>
      </c>
      <c r="D1391" s="1">
        <v>0.0</v>
      </c>
      <c r="E1391" s="1">
        <v>0.0</v>
      </c>
      <c r="F1391" s="1">
        <v>7.0</v>
      </c>
      <c r="G1391" s="51">
        <f t="shared" si="503"/>
        <v>0.264</v>
      </c>
      <c r="H1391" s="52">
        <f t="shared" si="504"/>
        <v>0.264</v>
      </c>
      <c r="I1391" s="67">
        <f t="shared" si="505"/>
        <v>0.264</v>
      </c>
      <c r="J1391" s="100">
        <f>B1400/10</f>
        <v>1.2</v>
      </c>
    </row>
    <row r="1392">
      <c r="A1392" s="48">
        <v>3.0</v>
      </c>
      <c r="B1392" s="1">
        <v>0.0</v>
      </c>
      <c r="C1392" s="1">
        <v>604.0</v>
      </c>
      <c r="D1392" s="1">
        <v>1.0</v>
      </c>
      <c r="E1392" s="1">
        <v>315.0</v>
      </c>
      <c r="F1392" s="1">
        <v>6.0</v>
      </c>
      <c r="G1392" s="51">
        <f t="shared" si="503"/>
        <v>0.3908</v>
      </c>
      <c r="H1392" s="52">
        <f t="shared" si="504"/>
        <v>0.383</v>
      </c>
      <c r="I1392" s="67">
        <f t="shared" si="505"/>
        <v>0.3869</v>
      </c>
      <c r="J1392" s="99" t="s">
        <v>19</v>
      </c>
    </row>
    <row r="1393">
      <c r="A1393" s="48">
        <v>4.0</v>
      </c>
      <c r="B1393" s="82">
        <v>5.0</v>
      </c>
      <c r="C1393" s="42">
        <v>353.0</v>
      </c>
      <c r="D1393" s="27">
        <v>1.0</v>
      </c>
      <c r="E1393" s="27">
        <v>60.0</v>
      </c>
      <c r="F1393" s="87">
        <v>20.0</v>
      </c>
      <c r="G1393" s="51">
        <f t="shared" si="503"/>
        <v>0.5066</v>
      </c>
      <c r="H1393" s="52">
        <f t="shared" si="504"/>
        <v>0.248</v>
      </c>
      <c r="I1393" s="67">
        <f t="shared" si="505"/>
        <v>0.3773</v>
      </c>
      <c r="J1393" s="100">
        <f>D1400/10</f>
        <v>0.7</v>
      </c>
    </row>
    <row r="1394">
      <c r="A1394" s="48">
        <v>5.0</v>
      </c>
      <c r="B1394" s="1">
        <v>0.0</v>
      </c>
      <c r="C1394" s="1">
        <v>0.0</v>
      </c>
      <c r="D1394" s="1">
        <v>1.0</v>
      </c>
      <c r="E1394" s="1">
        <v>247.0</v>
      </c>
      <c r="F1394" s="1">
        <v>32.0</v>
      </c>
      <c r="G1394" s="51">
        <f t="shared" si="503"/>
        <v>0.114</v>
      </c>
      <c r="H1394" s="52">
        <f t="shared" si="504"/>
        <v>0.2134</v>
      </c>
      <c r="I1394" s="67">
        <f t="shared" si="505"/>
        <v>0.1637</v>
      </c>
      <c r="J1394" s="99" t="s">
        <v>23</v>
      </c>
    </row>
    <row r="1395">
      <c r="A1395" s="48">
        <v>6.0</v>
      </c>
      <c r="B1395" s="1">
        <v>0.0</v>
      </c>
      <c r="C1395" s="1">
        <v>194.0</v>
      </c>
      <c r="D1395" s="1">
        <v>0.0</v>
      </c>
      <c r="E1395" s="1">
        <v>62.0</v>
      </c>
      <c r="F1395" s="1">
        <v>34.0</v>
      </c>
      <c r="G1395" s="51">
        <f t="shared" si="503"/>
        <v>0.1408</v>
      </c>
      <c r="H1395" s="52">
        <f t="shared" si="504"/>
        <v>0.1144</v>
      </c>
      <c r="I1395" s="67">
        <f t="shared" si="505"/>
        <v>0.1276</v>
      </c>
      <c r="J1395" s="101">
        <f>J1391/J1393</f>
        <v>1.714285714</v>
      </c>
    </row>
    <row r="1396">
      <c r="A1396" s="48">
        <v>7.0</v>
      </c>
      <c r="B1396" s="1">
        <v>1.0</v>
      </c>
      <c r="C1396" s="1">
        <v>236.0</v>
      </c>
      <c r="D1396" s="1">
        <v>0.0</v>
      </c>
      <c r="E1396" s="1">
        <v>219.0</v>
      </c>
      <c r="F1396" s="1">
        <v>24.0</v>
      </c>
      <c r="G1396" s="51">
        <f t="shared" si="503"/>
        <v>0.2592</v>
      </c>
      <c r="H1396" s="52">
        <f t="shared" si="504"/>
        <v>0.2058</v>
      </c>
      <c r="I1396" s="67">
        <f t="shared" si="505"/>
        <v>0.2325</v>
      </c>
      <c r="J1396" s="99" t="s">
        <v>27</v>
      </c>
    </row>
    <row r="1397">
      <c r="A1397" s="48">
        <v>8.0</v>
      </c>
      <c r="B1397" s="1">
        <v>3.0</v>
      </c>
      <c r="C1397" s="1">
        <v>394.0</v>
      </c>
      <c r="D1397" s="1">
        <v>3.0</v>
      </c>
      <c r="E1397" s="1">
        <v>225.0</v>
      </c>
      <c r="F1397" s="1">
        <v>6.0</v>
      </c>
      <c r="G1397" s="51">
        <f t="shared" si="503"/>
        <v>0.4988</v>
      </c>
      <c r="H1397" s="52">
        <f t="shared" si="504"/>
        <v>0.465</v>
      </c>
      <c r="I1397" s="67">
        <f t="shared" si="505"/>
        <v>0.4819</v>
      </c>
      <c r="J1397" s="101">
        <f>J1393/J1391</f>
        <v>0.5833333333</v>
      </c>
    </row>
    <row r="1398">
      <c r="A1398" s="48">
        <v>9.0</v>
      </c>
      <c r="B1398" s="1">
        <v>2.0</v>
      </c>
      <c r="C1398" s="1">
        <v>199.0</v>
      </c>
      <c r="D1398" s="1">
        <v>0.0</v>
      </c>
      <c r="E1398" s="1">
        <v>100.0</v>
      </c>
      <c r="F1398" s="1">
        <v>39.0</v>
      </c>
      <c r="G1398" s="51">
        <f t="shared" si="503"/>
        <v>0.2118</v>
      </c>
      <c r="H1398" s="52">
        <f t="shared" si="504"/>
        <v>0.092</v>
      </c>
      <c r="I1398" s="67">
        <f t="shared" si="505"/>
        <v>0.1519</v>
      </c>
      <c r="J1398" s="99"/>
    </row>
    <row r="1399">
      <c r="A1399" s="48">
        <v>10.0</v>
      </c>
      <c r="B1399" s="1">
        <v>1.0</v>
      </c>
      <c r="C1399" s="1">
        <v>104.0</v>
      </c>
      <c r="D1399" s="1">
        <v>1.0</v>
      </c>
      <c r="E1399" s="1">
        <v>111.0</v>
      </c>
      <c r="F1399" s="1">
        <v>25.0</v>
      </c>
      <c r="G1399" s="51">
        <f t="shared" si="503"/>
        <v>0.2268</v>
      </c>
      <c r="H1399" s="52">
        <f t="shared" si="504"/>
        <v>0.2282</v>
      </c>
      <c r="I1399" s="67">
        <f t="shared" si="505"/>
        <v>0.2275</v>
      </c>
      <c r="J1399" s="46"/>
    </row>
    <row r="1400">
      <c r="A1400" s="43" t="s">
        <v>33</v>
      </c>
      <c r="B1400" s="92">
        <f>SUM(B1390:B1399)</f>
        <v>12</v>
      </c>
      <c r="C1400" s="93">
        <f>AVERAGE(C1390:C1399)</f>
        <v>226.3</v>
      </c>
      <c r="D1400" s="93">
        <f>SUM(D1390:D1399)</f>
        <v>7</v>
      </c>
      <c r="E1400" s="93">
        <f t="shared" ref="E1400:F1400" si="506">AVERAGE(E1390:E1399)</f>
        <v>138.8</v>
      </c>
      <c r="F1400" s="94">
        <f t="shared" si="506"/>
        <v>20</v>
      </c>
      <c r="G1400" s="95">
        <f t="shared" ref="G1400:H1400" si="507">Average(G1390:G1399)</f>
        <v>0.29126</v>
      </c>
      <c r="H1400" s="96">
        <f t="shared" si="507"/>
        <v>0.24876</v>
      </c>
      <c r="I1400" s="97">
        <f t="shared" si="505"/>
        <v>0.27001</v>
      </c>
      <c r="J1400" s="99"/>
    </row>
    <row r="1402">
      <c r="A1402" s="43"/>
      <c r="B1402" s="43" t="s">
        <v>0</v>
      </c>
      <c r="C1402" s="44" t="s">
        <v>242</v>
      </c>
      <c r="D1402" s="43" t="s">
        <v>2</v>
      </c>
      <c r="E1402" s="43" t="str">
        <f>"Game on " &amp; MATCH(MAX(I1404:I1413), I1404:I1413, 0) + ROW(I1404) - 1 &amp; ". row"
</f>
        <v>Game on 1409. row</v>
      </c>
      <c r="F1402" s="43"/>
      <c r="G1402" s="43"/>
      <c r="H1402" s="43"/>
      <c r="I1402" s="45"/>
      <c r="J1402" s="43"/>
    </row>
    <row r="1403">
      <c r="A1403" s="44" t="s">
        <v>243</v>
      </c>
      <c r="B1403" s="46" t="s">
        <v>4</v>
      </c>
      <c r="C1403" s="46" t="s">
        <v>5</v>
      </c>
      <c r="D1403" s="46" t="s">
        <v>6</v>
      </c>
      <c r="E1403" s="46" t="s">
        <v>7</v>
      </c>
      <c r="F1403" s="46" t="s">
        <v>8</v>
      </c>
      <c r="G1403" s="46"/>
      <c r="H1403" s="46"/>
      <c r="I1403" s="47"/>
      <c r="J1403" s="46"/>
    </row>
    <row r="1404">
      <c r="A1404" s="48">
        <v>1.0</v>
      </c>
      <c r="B1404" s="1">
        <v>0.0</v>
      </c>
      <c r="C1404" s="1">
        <v>129.0</v>
      </c>
      <c r="D1404" s="1">
        <v>0.0</v>
      </c>
      <c r="E1404" s="1">
        <v>0.0</v>
      </c>
      <c r="F1404" s="1">
        <v>42.0</v>
      </c>
      <c r="G1404" s="51">
        <f t="shared" ref="G1404:G1413" si="508">(B1404*0.5 + C1404/100*0.2 + (51 - F1404)/5*0.3)/10</f>
        <v>0.0798</v>
      </c>
      <c r="H1404" s="52">
        <f t="shared" ref="H1404:H1413" si="509">(D1404*0.5 + E1404/100*0.2 + (51 - F1404)/5*0.3)/10</f>
        <v>0.054</v>
      </c>
      <c r="I1404" s="67">
        <f t="shared" ref="I1404:I1414" si="510">AVERAGE(G1404,H1404)</f>
        <v>0.0669</v>
      </c>
      <c r="J1404" s="99" t="s">
        <v>15</v>
      </c>
    </row>
    <row r="1405">
      <c r="A1405" s="48">
        <v>2.0</v>
      </c>
      <c r="B1405" s="1">
        <v>0.0</v>
      </c>
      <c r="C1405" s="1">
        <v>100.0</v>
      </c>
      <c r="D1405" s="1">
        <v>0.0</v>
      </c>
      <c r="E1405" s="1">
        <v>172.0</v>
      </c>
      <c r="F1405" s="1">
        <v>35.0</v>
      </c>
      <c r="G1405" s="51">
        <f t="shared" si="508"/>
        <v>0.116</v>
      </c>
      <c r="H1405" s="52">
        <f t="shared" si="509"/>
        <v>0.1304</v>
      </c>
      <c r="I1405" s="67">
        <f t="shared" si="510"/>
        <v>0.1232</v>
      </c>
      <c r="J1405" s="100">
        <f>B1414/10</f>
        <v>1.3</v>
      </c>
    </row>
    <row r="1406">
      <c r="A1406" s="48">
        <v>3.0</v>
      </c>
      <c r="B1406" s="1">
        <v>0.0</v>
      </c>
      <c r="C1406" s="1">
        <v>111.0</v>
      </c>
      <c r="D1406" s="1">
        <v>0.0</v>
      </c>
      <c r="E1406" s="1">
        <v>178.0</v>
      </c>
      <c r="F1406" s="1">
        <v>32.0</v>
      </c>
      <c r="G1406" s="51">
        <f t="shared" si="508"/>
        <v>0.1362</v>
      </c>
      <c r="H1406" s="52">
        <f t="shared" si="509"/>
        <v>0.1496</v>
      </c>
      <c r="I1406" s="67">
        <f t="shared" si="510"/>
        <v>0.1429</v>
      </c>
      <c r="J1406" s="99" t="s">
        <v>19</v>
      </c>
    </row>
    <row r="1407">
      <c r="A1407" s="48">
        <v>4.0</v>
      </c>
      <c r="B1407" s="82">
        <v>2.0</v>
      </c>
      <c r="C1407" s="42">
        <v>231.0</v>
      </c>
      <c r="D1407" s="27">
        <v>1.0</v>
      </c>
      <c r="E1407" s="27">
        <v>133.0</v>
      </c>
      <c r="F1407" s="87">
        <v>9.0</v>
      </c>
      <c r="G1407" s="51">
        <f t="shared" si="508"/>
        <v>0.3982</v>
      </c>
      <c r="H1407" s="52">
        <f t="shared" si="509"/>
        <v>0.3286</v>
      </c>
      <c r="I1407" s="67">
        <f t="shared" si="510"/>
        <v>0.3634</v>
      </c>
      <c r="J1407" s="100">
        <f>D1414/10</f>
        <v>0.3</v>
      </c>
    </row>
    <row r="1408">
      <c r="A1408" s="48">
        <v>5.0</v>
      </c>
      <c r="B1408" s="1">
        <v>1.0</v>
      </c>
      <c r="C1408" s="1">
        <v>100.0</v>
      </c>
      <c r="D1408" s="1">
        <v>1.0</v>
      </c>
      <c r="E1408" s="1">
        <v>152.0</v>
      </c>
      <c r="F1408" s="1">
        <v>16.0</v>
      </c>
      <c r="G1408" s="51">
        <f t="shared" si="508"/>
        <v>0.28</v>
      </c>
      <c r="H1408" s="52">
        <f t="shared" si="509"/>
        <v>0.2904</v>
      </c>
      <c r="I1408" s="67">
        <f t="shared" si="510"/>
        <v>0.2852</v>
      </c>
      <c r="J1408" s="99" t="s">
        <v>23</v>
      </c>
    </row>
    <row r="1409">
      <c r="A1409" s="48">
        <v>6.0</v>
      </c>
      <c r="B1409" s="1">
        <v>4.0</v>
      </c>
      <c r="C1409" s="1">
        <v>472.0</v>
      </c>
      <c r="D1409" s="1">
        <v>0.0</v>
      </c>
      <c r="E1409" s="1">
        <v>47.0</v>
      </c>
      <c r="F1409" s="1">
        <v>6.0</v>
      </c>
      <c r="G1409" s="51">
        <f t="shared" si="508"/>
        <v>0.5644</v>
      </c>
      <c r="H1409" s="52">
        <f t="shared" si="509"/>
        <v>0.2794</v>
      </c>
      <c r="I1409" s="67">
        <f t="shared" si="510"/>
        <v>0.4219</v>
      </c>
      <c r="J1409" s="101">
        <f>J1405/J1407</f>
        <v>4.333333333</v>
      </c>
    </row>
    <row r="1410">
      <c r="A1410" s="48">
        <v>7.0</v>
      </c>
      <c r="B1410" s="1">
        <v>1.0</v>
      </c>
      <c r="C1410" s="1">
        <v>182.0</v>
      </c>
      <c r="D1410" s="1">
        <v>0.0</v>
      </c>
      <c r="E1410" s="1">
        <v>0.0</v>
      </c>
      <c r="F1410" s="1">
        <v>41.0</v>
      </c>
      <c r="G1410" s="51">
        <f t="shared" si="508"/>
        <v>0.1464</v>
      </c>
      <c r="H1410" s="52">
        <f t="shared" si="509"/>
        <v>0.06</v>
      </c>
      <c r="I1410" s="67">
        <f t="shared" si="510"/>
        <v>0.1032</v>
      </c>
      <c r="J1410" s="99" t="s">
        <v>27</v>
      </c>
    </row>
    <row r="1411">
      <c r="A1411" s="48">
        <v>8.0</v>
      </c>
      <c r="B1411" s="1">
        <v>0.0</v>
      </c>
      <c r="C1411" s="1">
        <v>0.0</v>
      </c>
      <c r="D1411" s="1">
        <v>0.0</v>
      </c>
      <c r="E1411" s="1">
        <v>0.0</v>
      </c>
      <c r="F1411" s="1">
        <v>40.0</v>
      </c>
      <c r="G1411" s="51">
        <f t="shared" si="508"/>
        <v>0.066</v>
      </c>
      <c r="H1411" s="52">
        <f t="shared" si="509"/>
        <v>0.066</v>
      </c>
      <c r="I1411" s="67">
        <f t="shared" si="510"/>
        <v>0.066</v>
      </c>
      <c r="J1411" s="101">
        <f>J1407/J1405</f>
        <v>0.2307692308</v>
      </c>
    </row>
    <row r="1412">
      <c r="A1412" s="48">
        <v>9.0</v>
      </c>
      <c r="B1412" s="1">
        <v>3.0</v>
      </c>
      <c r="C1412" s="1">
        <v>415.0</v>
      </c>
      <c r="D1412" s="1">
        <v>1.0</v>
      </c>
      <c r="E1412" s="1">
        <v>212.0</v>
      </c>
      <c r="F1412" s="1">
        <v>14.0</v>
      </c>
      <c r="G1412" s="51">
        <f t="shared" si="508"/>
        <v>0.455</v>
      </c>
      <c r="H1412" s="52">
        <f t="shared" si="509"/>
        <v>0.3144</v>
      </c>
      <c r="I1412" s="67">
        <f t="shared" si="510"/>
        <v>0.3847</v>
      </c>
      <c r="J1412" s="99"/>
    </row>
    <row r="1413">
      <c r="A1413" s="48">
        <v>10.0</v>
      </c>
      <c r="B1413" s="1">
        <v>2.0</v>
      </c>
      <c r="C1413" s="1">
        <v>204.0</v>
      </c>
      <c r="D1413" s="1">
        <v>0.0</v>
      </c>
      <c r="E1413" s="1">
        <v>0.0</v>
      </c>
      <c r="F1413" s="1">
        <v>31.0</v>
      </c>
      <c r="G1413" s="51">
        <f t="shared" si="508"/>
        <v>0.2608</v>
      </c>
      <c r="H1413" s="52">
        <f t="shared" si="509"/>
        <v>0.12</v>
      </c>
      <c r="I1413" s="67">
        <f t="shared" si="510"/>
        <v>0.1904</v>
      </c>
      <c r="J1413" s="46"/>
    </row>
    <row r="1414">
      <c r="A1414" s="43" t="s">
        <v>33</v>
      </c>
      <c r="B1414" s="92">
        <f>SUM(B1404:B1413)</f>
        <v>13</v>
      </c>
      <c r="C1414" s="93">
        <f>AVERAGE(C1404:C1413)</f>
        <v>194.4</v>
      </c>
      <c r="D1414" s="93">
        <f>SUM(D1404:D1413)</f>
        <v>3</v>
      </c>
      <c r="E1414" s="93">
        <f t="shared" ref="E1414:F1414" si="511">AVERAGE(E1404:E1413)</f>
        <v>89.4</v>
      </c>
      <c r="F1414" s="94">
        <f t="shared" si="511"/>
        <v>26.6</v>
      </c>
      <c r="G1414" s="95">
        <f t="shared" ref="G1414:H1414" si="512">Average(G1404:G1413)</f>
        <v>0.25028</v>
      </c>
      <c r="H1414" s="96">
        <f t="shared" si="512"/>
        <v>0.17928</v>
      </c>
      <c r="I1414" s="97">
        <f t="shared" si="510"/>
        <v>0.21478</v>
      </c>
      <c r="J1414" s="99"/>
    </row>
    <row r="1416">
      <c r="A1416" s="43"/>
      <c r="B1416" s="43" t="s">
        <v>0</v>
      </c>
      <c r="C1416" s="44" t="s">
        <v>242</v>
      </c>
      <c r="D1416" s="43" t="s">
        <v>2</v>
      </c>
      <c r="E1416" s="43" t="str">
        <f>"Game on " &amp; MATCH(MAX(I1418:I1427), I1418:I1427, 0) + ROW(I1418) - 1 &amp; ". row"
</f>
        <v>Game on 1422. row</v>
      </c>
      <c r="F1416" s="43"/>
      <c r="G1416" s="43"/>
      <c r="H1416" s="43"/>
      <c r="I1416" s="45"/>
      <c r="J1416" s="43"/>
    </row>
    <row r="1417">
      <c r="A1417" s="44" t="s">
        <v>243</v>
      </c>
      <c r="B1417" s="46" t="s">
        <v>4</v>
      </c>
      <c r="C1417" s="46" t="s">
        <v>5</v>
      </c>
      <c r="D1417" s="46" t="s">
        <v>6</v>
      </c>
      <c r="E1417" s="46" t="s">
        <v>7</v>
      </c>
      <c r="F1417" s="46" t="s">
        <v>8</v>
      </c>
      <c r="G1417" s="46"/>
      <c r="H1417" s="46"/>
      <c r="I1417" s="47"/>
      <c r="J1417" s="46"/>
    </row>
    <row r="1418">
      <c r="A1418" s="48">
        <v>1.0</v>
      </c>
      <c r="B1418" s="1">
        <v>1.0</v>
      </c>
      <c r="C1418" s="1">
        <v>174.0</v>
      </c>
      <c r="D1418" s="1">
        <v>3.0</v>
      </c>
      <c r="E1418" s="1">
        <v>282.0</v>
      </c>
      <c r="F1418" s="1">
        <v>12.0</v>
      </c>
      <c r="G1418" s="51">
        <f t="shared" ref="G1418:G1427" si="513">(B1418*0.5 + C1418/100*0.2 + (51 - F1418)/5*0.3)/10</f>
        <v>0.3188</v>
      </c>
      <c r="H1418" s="52">
        <f t="shared" ref="H1418:H1427" si="514">(D1418*0.5 + E1418/100*0.2 + (51 - F1418)/5*0.3)/10</f>
        <v>0.4404</v>
      </c>
      <c r="I1418" s="67">
        <f t="shared" ref="I1418:I1428" si="515">AVERAGE(G1418,H1418)</f>
        <v>0.3796</v>
      </c>
      <c r="J1418" s="99" t="s">
        <v>15</v>
      </c>
    </row>
    <row r="1419">
      <c r="A1419" s="48">
        <v>2.0</v>
      </c>
      <c r="B1419" s="1">
        <v>0.0</v>
      </c>
      <c r="C1419" s="1">
        <v>254.0</v>
      </c>
      <c r="D1419" s="1">
        <v>0.0</v>
      </c>
      <c r="E1419" s="1">
        <v>89.0</v>
      </c>
      <c r="F1419" s="1">
        <v>29.0</v>
      </c>
      <c r="G1419" s="51">
        <f t="shared" si="513"/>
        <v>0.1828</v>
      </c>
      <c r="H1419" s="52">
        <f t="shared" si="514"/>
        <v>0.1498</v>
      </c>
      <c r="I1419" s="67">
        <f t="shared" si="515"/>
        <v>0.1663</v>
      </c>
      <c r="J1419" s="100">
        <f>B1428/10</f>
        <v>1.7</v>
      </c>
    </row>
    <row r="1420">
      <c r="A1420" s="48">
        <v>3.0</v>
      </c>
      <c r="B1420" s="1">
        <v>0.0</v>
      </c>
      <c r="C1420" s="1">
        <v>377.0</v>
      </c>
      <c r="D1420" s="1">
        <v>0.0</v>
      </c>
      <c r="E1420" s="1">
        <v>285.0</v>
      </c>
      <c r="F1420" s="1">
        <v>31.0</v>
      </c>
      <c r="G1420" s="51">
        <f t="shared" si="513"/>
        <v>0.1954</v>
      </c>
      <c r="H1420" s="52">
        <f t="shared" si="514"/>
        <v>0.177</v>
      </c>
      <c r="I1420" s="67">
        <f t="shared" si="515"/>
        <v>0.1862</v>
      </c>
      <c r="J1420" s="99" t="s">
        <v>19</v>
      </c>
    </row>
    <row r="1421">
      <c r="A1421" s="48">
        <v>4.0</v>
      </c>
      <c r="B1421" s="82">
        <v>6.0</v>
      </c>
      <c r="C1421" s="42">
        <v>566.0</v>
      </c>
      <c r="D1421" s="27">
        <v>2.0</v>
      </c>
      <c r="E1421" s="27">
        <v>323.0</v>
      </c>
      <c r="F1421" s="87">
        <v>14.0</v>
      </c>
      <c r="G1421" s="51">
        <f t="shared" si="513"/>
        <v>0.6352</v>
      </c>
      <c r="H1421" s="52">
        <f t="shared" si="514"/>
        <v>0.3866</v>
      </c>
      <c r="I1421" s="67">
        <f t="shared" si="515"/>
        <v>0.5109</v>
      </c>
      <c r="J1421" s="100">
        <f>D1428/10</f>
        <v>0.9</v>
      </c>
    </row>
    <row r="1422">
      <c r="A1422" s="48">
        <v>5.0</v>
      </c>
      <c r="B1422" s="1">
        <v>4.0</v>
      </c>
      <c r="C1422" s="1">
        <v>766.0</v>
      </c>
      <c r="D1422" s="1">
        <v>3.0</v>
      </c>
      <c r="E1422" s="1">
        <v>545.0</v>
      </c>
      <c r="F1422" s="1">
        <v>14.0</v>
      </c>
      <c r="G1422" s="51">
        <f t="shared" si="513"/>
        <v>0.5752</v>
      </c>
      <c r="H1422" s="52">
        <f t="shared" si="514"/>
        <v>0.481</v>
      </c>
      <c r="I1422" s="67">
        <f t="shared" si="515"/>
        <v>0.5281</v>
      </c>
      <c r="J1422" s="99" t="s">
        <v>23</v>
      </c>
    </row>
    <row r="1423">
      <c r="A1423" s="48">
        <v>6.0</v>
      </c>
      <c r="B1423" s="1">
        <v>2.0</v>
      </c>
      <c r="C1423" s="1">
        <v>432.0</v>
      </c>
      <c r="D1423" s="1">
        <v>1.0</v>
      </c>
      <c r="E1423" s="1">
        <v>263.0</v>
      </c>
      <c r="F1423" s="1">
        <v>12.0</v>
      </c>
      <c r="G1423" s="51">
        <f t="shared" si="513"/>
        <v>0.4204</v>
      </c>
      <c r="H1423" s="52">
        <f t="shared" si="514"/>
        <v>0.3366</v>
      </c>
      <c r="I1423" s="67">
        <f t="shared" si="515"/>
        <v>0.3785</v>
      </c>
      <c r="J1423" s="101">
        <f>J1419/J1421</f>
        <v>1.888888889</v>
      </c>
    </row>
    <row r="1424">
      <c r="A1424" s="48">
        <v>7.0</v>
      </c>
      <c r="B1424" s="1">
        <v>1.0</v>
      </c>
      <c r="C1424" s="1">
        <v>506.0</v>
      </c>
      <c r="D1424" s="1">
        <v>0.0</v>
      </c>
      <c r="E1424" s="1">
        <v>22.0</v>
      </c>
      <c r="F1424" s="1">
        <v>10.0</v>
      </c>
      <c r="G1424" s="51">
        <f t="shared" si="513"/>
        <v>0.3972</v>
      </c>
      <c r="H1424" s="52">
        <f t="shared" si="514"/>
        <v>0.2504</v>
      </c>
      <c r="I1424" s="67">
        <f t="shared" si="515"/>
        <v>0.3238</v>
      </c>
      <c r="J1424" s="99" t="s">
        <v>27</v>
      </c>
    </row>
    <row r="1425">
      <c r="A1425" s="48">
        <v>8.0</v>
      </c>
      <c r="B1425" s="1">
        <v>0.0</v>
      </c>
      <c r="C1425" s="1">
        <v>165.0</v>
      </c>
      <c r="D1425" s="1">
        <v>0.0</v>
      </c>
      <c r="E1425" s="1">
        <v>0.0</v>
      </c>
      <c r="F1425" s="1">
        <v>32.0</v>
      </c>
      <c r="G1425" s="51">
        <f t="shared" si="513"/>
        <v>0.147</v>
      </c>
      <c r="H1425" s="52">
        <f t="shared" si="514"/>
        <v>0.114</v>
      </c>
      <c r="I1425" s="67">
        <f t="shared" si="515"/>
        <v>0.1305</v>
      </c>
      <c r="J1425" s="101">
        <f>J1421/J1419</f>
        <v>0.5294117647</v>
      </c>
    </row>
    <row r="1426">
      <c r="A1426" s="48">
        <v>9.0</v>
      </c>
      <c r="B1426" s="1">
        <v>0.0</v>
      </c>
      <c r="C1426" s="1">
        <v>56.0</v>
      </c>
      <c r="D1426" s="1">
        <v>0.0</v>
      </c>
      <c r="E1426" s="1">
        <v>0.0</v>
      </c>
      <c r="F1426" s="1">
        <v>22.0</v>
      </c>
      <c r="G1426" s="51">
        <f t="shared" si="513"/>
        <v>0.1852</v>
      </c>
      <c r="H1426" s="52">
        <f t="shared" si="514"/>
        <v>0.174</v>
      </c>
      <c r="I1426" s="67">
        <f t="shared" si="515"/>
        <v>0.1796</v>
      </c>
      <c r="J1426" s="99"/>
    </row>
    <row r="1427">
      <c r="A1427" s="48">
        <v>10.0</v>
      </c>
      <c r="B1427" s="1">
        <v>3.0</v>
      </c>
      <c r="C1427" s="1">
        <v>710.0</v>
      </c>
      <c r="D1427" s="1">
        <v>0.0</v>
      </c>
      <c r="E1427" s="1">
        <v>300.0</v>
      </c>
      <c r="F1427" s="1">
        <v>7.0</v>
      </c>
      <c r="G1427" s="51">
        <f t="shared" si="513"/>
        <v>0.556</v>
      </c>
      <c r="H1427" s="52">
        <f t="shared" si="514"/>
        <v>0.324</v>
      </c>
      <c r="I1427" s="67">
        <f t="shared" si="515"/>
        <v>0.44</v>
      </c>
      <c r="J1427" s="46"/>
    </row>
    <row r="1428">
      <c r="A1428" s="43" t="s">
        <v>33</v>
      </c>
      <c r="B1428" s="92">
        <f>SUM(B1418:B1427)</f>
        <v>17</v>
      </c>
      <c r="C1428" s="93">
        <f>AVERAGE(C1418:C1427)</f>
        <v>400.6</v>
      </c>
      <c r="D1428" s="93">
        <f>SUM(D1418:D1427)</f>
        <v>9</v>
      </c>
      <c r="E1428" s="93">
        <f t="shared" ref="E1428:F1428" si="516">AVERAGE(E1418:E1427)</f>
        <v>210.9</v>
      </c>
      <c r="F1428" s="94">
        <f t="shared" si="516"/>
        <v>18.3</v>
      </c>
      <c r="G1428" s="95">
        <f t="shared" ref="G1428:H1428" si="517">Average(G1418:G1427)</f>
        <v>0.36132</v>
      </c>
      <c r="H1428" s="96">
        <f t="shared" si="517"/>
        <v>0.28338</v>
      </c>
      <c r="I1428" s="97">
        <f t="shared" si="515"/>
        <v>0.32235</v>
      </c>
      <c r="J1428" s="99"/>
    </row>
    <row r="1430">
      <c r="A1430" s="43"/>
      <c r="B1430" s="43" t="s">
        <v>0</v>
      </c>
      <c r="C1430" s="44" t="s">
        <v>244</v>
      </c>
      <c r="D1430" s="43" t="s">
        <v>2</v>
      </c>
      <c r="E1430" s="43" t="str">
        <f>"Game on " &amp; MATCH(MAX(I1432:I1441), I1432:I1441, 0) + ROW(I1432) - 1 &amp; ". row"
</f>
        <v>Game on 1437. row</v>
      </c>
      <c r="F1430" s="43"/>
      <c r="G1430" s="43"/>
      <c r="H1430" s="43"/>
      <c r="I1430" s="45"/>
      <c r="J1430" s="43"/>
    </row>
    <row r="1431">
      <c r="A1431" s="44" t="s">
        <v>245</v>
      </c>
      <c r="B1431" s="46" t="s">
        <v>4</v>
      </c>
      <c r="C1431" s="46" t="s">
        <v>5</v>
      </c>
      <c r="D1431" s="46" t="s">
        <v>6</v>
      </c>
      <c r="E1431" s="46" t="s">
        <v>7</v>
      </c>
      <c r="F1431" s="46" t="s">
        <v>8</v>
      </c>
      <c r="G1431" s="46"/>
      <c r="H1431" s="46"/>
      <c r="I1431" s="47"/>
      <c r="J1431" s="46"/>
    </row>
    <row r="1432">
      <c r="A1432" s="48">
        <v>1.0</v>
      </c>
      <c r="B1432" s="1">
        <v>0.0</v>
      </c>
      <c r="C1432" s="1">
        <v>29.0</v>
      </c>
      <c r="D1432" s="1">
        <v>0.0</v>
      </c>
      <c r="E1432" s="1">
        <v>12.0</v>
      </c>
      <c r="F1432" s="1">
        <v>44.0</v>
      </c>
      <c r="G1432" s="51">
        <f t="shared" ref="G1432:G1441" si="518">(B1432*0.5 + C1432/100*0.2 + (51 - F1432)/5*0.3)/10</f>
        <v>0.0478</v>
      </c>
      <c r="H1432" s="52">
        <f t="shared" ref="H1432:H1441" si="519">(D1432*0.5 + E1432/100*0.2 + (51 - F1432)/5*0.3)/10</f>
        <v>0.0444</v>
      </c>
      <c r="I1432" s="67">
        <f t="shared" ref="I1432:I1442" si="520">AVERAGE(G1432,H1432)</f>
        <v>0.0461</v>
      </c>
      <c r="J1432" s="99" t="s">
        <v>15</v>
      </c>
    </row>
    <row r="1433">
      <c r="A1433" s="48">
        <v>2.0</v>
      </c>
      <c r="B1433" s="1">
        <v>1.0</v>
      </c>
      <c r="C1433" s="1">
        <v>400.0</v>
      </c>
      <c r="D1433" s="1">
        <v>0.0</v>
      </c>
      <c r="E1433" s="1">
        <v>0.0</v>
      </c>
      <c r="F1433" s="1">
        <v>11.0</v>
      </c>
      <c r="G1433" s="51">
        <f t="shared" si="518"/>
        <v>0.37</v>
      </c>
      <c r="H1433" s="52">
        <f t="shared" si="519"/>
        <v>0.24</v>
      </c>
      <c r="I1433" s="67">
        <f t="shared" si="520"/>
        <v>0.305</v>
      </c>
      <c r="J1433" s="100">
        <f>B1442/10</f>
        <v>1.3</v>
      </c>
    </row>
    <row r="1434">
      <c r="A1434" s="48">
        <v>3.0</v>
      </c>
      <c r="B1434" s="1">
        <v>1.0</v>
      </c>
      <c r="C1434" s="1">
        <v>124.0</v>
      </c>
      <c r="D1434" s="1">
        <v>0.0</v>
      </c>
      <c r="E1434" s="1">
        <v>0.0</v>
      </c>
      <c r="F1434" s="1">
        <v>33.0</v>
      </c>
      <c r="G1434" s="51">
        <f t="shared" si="518"/>
        <v>0.1828</v>
      </c>
      <c r="H1434" s="52">
        <f t="shared" si="519"/>
        <v>0.108</v>
      </c>
      <c r="I1434" s="67">
        <f t="shared" si="520"/>
        <v>0.1454</v>
      </c>
      <c r="J1434" s="99" t="s">
        <v>19</v>
      </c>
    </row>
    <row r="1435">
      <c r="A1435" s="48">
        <v>4.0</v>
      </c>
      <c r="B1435" s="82">
        <v>2.0</v>
      </c>
      <c r="C1435" s="42">
        <v>214.0</v>
      </c>
      <c r="D1435" s="27">
        <v>0.0</v>
      </c>
      <c r="E1435" s="27">
        <v>97.0</v>
      </c>
      <c r="F1435" s="87">
        <v>33.0</v>
      </c>
      <c r="G1435" s="51">
        <f t="shared" si="518"/>
        <v>0.2508</v>
      </c>
      <c r="H1435" s="52">
        <f t="shared" si="519"/>
        <v>0.1274</v>
      </c>
      <c r="I1435" s="67">
        <f t="shared" si="520"/>
        <v>0.1891</v>
      </c>
      <c r="J1435" s="100">
        <f>D1442/10</f>
        <v>0.4</v>
      </c>
    </row>
    <row r="1436">
      <c r="A1436" s="48">
        <v>5.0</v>
      </c>
      <c r="B1436" s="1">
        <v>0.0</v>
      </c>
      <c r="C1436" s="1">
        <v>116.0</v>
      </c>
      <c r="D1436" s="1">
        <v>0.0</v>
      </c>
      <c r="E1436" s="1">
        <v>29.0</v>
      </c>
      <c r="F1436" s="1">
        <v>25.0</v>
      </c>
      <c r="G1436" s="51">
        <f t="shared" si="518"/>
        <v>0.1792</v>
      </c>
      <c r="H1436" s="52">
        <f t="shared" si="519"/>
        <v>0.1618</v>
      </c>
      <c r="I1436" s="67">
        <f t="shared" si="520"/>
        <v>0.1705</v>
      </c>
      <c r="J1436" s="99" t="s">
        <v>23</v>
      </c>
    </row>
    <row r="1437">
      <c r="A1437" s="48">
        <v>6.0</v>
      </c>
      <c r="B1437" s="1">
        <v>3.0</v>
      </c>
      <c r="C1437" s="1">
        <v>474.0</v>
      </c>
      <c r="D1437" s="1">
        <v>2.0</v>
      </c>
      <c r="E1437" s="1">
        <v>266.0</v>
      </c>
      <c r="F1437" s="1">
        <v>14.0</v>
      </c>
      <c r="G1437" s="51">
        <f t="shared" si="518"/>
        <v>0.4668</v>
      </c>
      <c r="H1437" s="52">
        <f t="shared" si="519"/>
        <v>0.3752</v>
      </c>
      <c r="I1437" s="67">
        <f t="shared" si="520"/>
        <v>0.421</v>
      </c>
      <c r="J1437" s="101">
        <f>J1433/J1435</f>
        <v>3.25</v>
      </c>
    </row>
    <row r="1438">
      <c r="A1438" s="48">
        <v>7.0</v>
      </c>
      <c r="B1438" s="1">
        <v>1.0</v>
      </c>
      <c r="C1438" s="1">
        <v>255.0</v>
      </c>
      <c r="D1438" s="1">
        <v>0.0</v>
      </c>
      <c r="E1438" s="1">
        <v>0.0</v>
      </c>
      <c r="F1438" s="1">
        <v>6.0</v>
      </c>
      <c r="G1438" s="51">
        <f t="shared" si="518"/>
        <v>0.371</v>
      </c>
      <c r="H1438" s="52">
        <f t="shared" si="519"/>
        <v>0.27</v>
      </c>
      <c r="I1438" s="67">
        <f t="shared" si="520"/>
        <v>0.3205</v>
      </c>
      <c r="J1438" s="99" t="s">
        <v>27</v>
      </c>
    </row>
    <row r="1439">
      <c r="A1439" s="48">
        <v>8.0</v>
      </c>
      <c r="B1439" s="1">
        <v>0.0</v>
      </c>
      <c r="C1439" s="1">
        <v>56.0</v>
      </c>
      <c r="D1439" s="1">
        <v>1.0</v>
      </c>
      <c r="E1439" s="1">
        <v>67.0</v>
      </c>
      <c r="F1439" s="1">
        <v>30.0</v>
      </c>
      <c r="G1439" s="51">
        <f t="shared" si="518"/>
        <v>0.1372</v>
      </c>
      <c r="H1439" s="52">
        <f t="shared" si="519"/>
        <v>0.1894</v>
      </c>
      <c r="I1439" s="67">
        <f t="shared" si="520"/>
        <v>0.1633</v>
      </c>
      <c r="J1439" s="101">
        <f>J1435/J1433</f>
        <v>0.3076923077</v>
      </c>
    </row>
    <row r="1440">
      <c r="A1440" s="48">
        <v>9.0</v>
      </c>
      <c r="B1440" s="1">
        <v>5.0</v>
      </c>
      <c r="C1440" s="1">
        <v>646.0</v>
      </c>
      <c r="D1440" s="1">
        <v>1.0</v>
      </c>
      <c r="E1440" s="1">
        <v>97.0</v>
      </c>
      <c r="F1440" s="1">
        <v>26.0</v>
      </c>
      <c r="G1440" s="51">
        <f t="shared" si="518"/>
        <v>0.5292</v>
      </c>
      <c r="H1440" s="52">
        <f t="shared" si="519"/>
        <v>0.2194</v>
      </c>
      <c r="I1440" s="67">
        <f t="shared" si="520"/>
        <v>0.3743</v>
      </c>
      <c r="J1440" s="99"/>
    </row>
    <row r="1441">
      <c r="A1441" s="48">
        <v>10.0</v>
      </c>
      <c r="B1441" s="1">
        <v>0.0</v>
      </c>
      <c r="C1441" s="1">
        <v>0.0</v>
      </c>
      <c r="D1441" s="1">
        <v>0.0</v>
      </c>
      <c r="E1441" s="1">
        <v>18.0</v>
      </c>
      <c r="F1441" s="1">
        <v>40.0</v>
      </c>
      <c r="G1441" s="51">
        <f t="shared" si="518"/>
        <v>0.066</v>
      </c>
      <c r="H1441" s="52">
        <f t="shared" si="519"/>
        <v>0.0696</v>
      </c>
      <c r="I1441" s="67">
        <f t="shared" si="520"/>
        <v>0.0678</v>
      </c>
      <c r="J1441" s="46"/>
    </row>
    <row r="1442">
      <c r="A1442" s="43" t="s">
        <v>33</v>
      </c>
      <c r="B1442" s="92">
        <f>SUM(B1432:B1441)</f>
        <v>13</v>
      </c>
      <c r="C1442" s="93">
        <f>AVERAGE(C1432:C1441)</f>
        <v>231.4</v>
      </c>
      <c r="D1442" s="93">
        <f>SUM(D1432:D1441)</f>
        <v>4</v>
      </c>
      <c r="E1442" s="93">
        <f t="shared" ref="E1442:F1442" si="521">AVERAGE(E1432:E1441)</f>
        <v>58.6</v>
      </c>
      <c r="F1442" s="94">
        <f t="shared" si="521"/>
        <v>26.2</v>
      </c>
      <c r="G1442" s="95">
        <f t="shared" ref="G1442:H1442" si="522">Average(G1432:G1441)</f>
        <v>0.26008</v>
      </c>
      <c r="H1442" s="96">
        <f t="shared" si="522"/>
        <v>0.18052</v>
      </c>
      <c r="I1442" s="97">
        <f t="shared" si="520"/>
        <v>0.2203</v>
      </c>
      <c r="J1442" s="99"/>
    </row>
    <row r="1444">
      <c r="A1444" s="43"/>
      <c r="B1444" s="43" t="s">
        <v>0</v>
      </c>
      <c r="C1444" s="44" t="s">
        <v>246</v>
      </c>
      <c r="D1444" s="43" t="s">
        <v>2</v>
      </c>
      <c r="E1444" s="43" t="str">
        <f>"Game on " &amp; MATCH(MAX(I1446:I1455), I1446:I1455, 0) + ROW(I1446) - 1 &amp; ". row"
</f>
        <v>Game on 1447. row</v>
      </c>
      <c r="F1444" s="43"/>
      <c r="G1444" s="43"/>
      <c r="H1444" s="43"/>
      <c r="I1444" s="45"/>
      <c r="J1444" s="43"/>
    </row>
    <row r="1445">
      <c r="A1445" s="44" t="s">
        <v>247</v>
      </c>
      <c r="B1445" s="46" t="s">
        <v>4</v>
      </c>
      <c r="C1445" s="46" t="s">
        <v>5</v>
      </c>
      <c r="D1445" s="46" t="s">
        <v>6</v>
      </c>
      <c r="E1445" s="46" t="s">
        <v>7</v>
      </c>
      <c r="F1445" s="46" t="s">
        <v>8</v>
      </c>
      <c r="G1445" s="46"/>
      <c r="H1445" s="46"/>
      <c r="I1445" s="47"/>
      <c r="J1445" s="46"/>
    </row>
    <row r="1446">
      <c r="A1446" s="48">
        <v>1.0</v>
      </c>
      <c r="B1446" s="1">
        <v>0.0</v>
      </c>
      <c r="C1446" s="1">
        <v>0.0</v>
      </c>
      <c r="D1446" s="1">
        <v>0.0</v>
      </c>
      <c r="E1446" s="1">
        <v>22.0</v>
      </c>
      <c r="F1446" s="1">
        <v>46.0</v>
      </c>
      <c r="G1446" s="51">
        <f t="shared" ref="G1446:G1455" si="523">(B1446*0.5 + C1446/100*0.2 + (51 - F1446)/5*0.3)/10</f>
        <v>0.03</v>
      </c>
      <c r="H1446" s="52">
        <f t="shared" ref="H1446:H1455" si="524">(D1446*0.5 + E1446/100*0.2 + (51 - F1446)/5*0.3)/10</f>
        <v>0.0344</v>
      </c>
      <c r="I1446" s="67">
        <f t="shared" ref="I1446:I1456" si="525">AVERAGE(G1446,H1446)</f>
        <v>0.0322</v>
      </c>
      <c r="J1446" s="99" t="s">
        <v>15</v>
      </c>
    </row>
    <row r="1447">
      <c r="A1447" s="48">
        <v>2.0</v>
      </c>
      <c r="B1447" s="1">
        <v>3.0</v>
      </c>
      <c r="C1447" s="1">
        <v>462.0</v>
      </c>
      <c r="D1447" s="1">
        <v>1.0</v>
      </c>
      <c r="E1447" s="1">
        <v>100.0</v>
      </c>
      <c r="F1447" s="1">
        <v>11.0</v>
      </c>
      <c r="G1447" s="51">
        <f t="shared" si="523"/>
        <v>0.4824</v>
      </c>
      <c r="H1447" s="52">
        <f t="shared" si="524"/>
        <v>0.31</v>
      </c>
      <c r="I1447" s="67">
        <f t="shared" si="525"/>
        <v>0.3962</v>
      </c>
      <c r="J1447" s="100">
        <f>B1456/10</f>
        <v>0.6</v>
      </c>
    </row>
    <row r="1448">
      <c r="A1448" s="48">
        <v>3.0</v>
      </c>
      <c r="B1448" s="1">
        <v>0.0</v>
      </c>
      <c r="C1448" s="1">
        <v>177.0</v>
      </c>
      <c r="D1448" s="1">
        <v>0.0</v>
      </c>
      <c r="E1448" s="1">
        <v>0.0</v>
      </c>
      <c r="F1448" s="1">
        <v>22.0</v>
      </c>
      <c r="G1448" s="51">
        <f t="shared" si="523"/>
        <v>0.2094</v>
      </c>
      <c r="H1448" s="52">
        <f t="shared" si="524"/>
        <v>0.174</v>
      </c>
      <c r="I1448" s="67">
        <f t="shared" si="525"/>
        <v>0.1917</v>
      </c>
      <c r="J1448" s="99" t="s">
        <v>19</v>
      </c>
    </row>
    <row r="1449">
      <c r="A1449" s="48">
        <v>4.0</v>
      </c>
      <c r="B1449" s="82">
        <v>0.0</v>
      </c>
      <c r="C1449" s="42">
        <v>174.0</v>
      </c>
      <c r="D1449" s="27">
        <v>1.0</v>
      </c>
      <c r="E1449" s="27">
        <v>310.0</v>
      </c>
      <c r="F1449" s="87">
        <v>25.0</v>
      </c>
      <c r="G1449" s="51">
        <f t="shared" si="523"/>
        <v>0.1908</v>
      </c>
      <c r="H1449" s="52">
        <f t="shared" si="524"/>
        <v>0.268</v>
      </c>
      <c r="I1449" s="67">
        <f t="shared" si="525"/>
        <v>0.2294</v>
      </c>
      <c r="J1449" s="100">
        <f>D1456/10</f>
        <v>0.9</v>
      </c>
    </row>
    <row r="1450">
      <c r="A1450" s="48">
        <v>5.0</v>
      </c>
      <c r="B1450" s="1">
        <v>2.0</v>
      </c>
      <c r="C1450" s="1">
        <v>233.0</v>
      </c>
      <c r="D1450" s="1">
        <v>0.0</v>
      </c>
      <c r="E1450" s="1">
        <v>155.0</v>
      </c>
      <c r="F1450" s="1">
        <v>9.0</v>
      </c>
      <c r="G1450" s="51">
        <f t="shared" si="523"/>
        <v>0.3986</v>
      </c>
      <c r="H1450" s="52">
        <f t="shared" si="524"/>
        <v>0.283</v>
      </c>
      <c r="I1450" s="67">
        <f t="shared" si="525"/>
        <v>0.3408</v>
      </c>
      <c r="J1450" s="99" t="s">
        <v>23</v>
      </c>
    </row>
    <row r="1451">
      <c r="A1451" s="48">
        <v>6.0</v>
      </c>
      <c r="B1451" s="1">
        <v>0.0</v>
      </c>
      <c r="C1451" s="1">
        <v>168.0</v>
      </c>
      <c r="D1451" s="1">
        <v>0.0</v>
      </c>
      <c r="E1451" s="1">
        <v>0.0</v>
      </c>
      <c r="F1451" s="1">
        <v>21.0</v>
      </c>
      <c r="G1451" s="51">
        <f t="shared" si="523"/>
        <v>0.2136</v>
      </c>
      <c r="H1451" s="52">
        <f t="shared" si="524"/>
        <v>0.18</v>
      </c>
      <c r="I1451" s="67">
        <f t="shared" si="525"/>
        <v>0.1968</v>
      </c>
      <c r="J1451" s="101">
        <f>J1447/J1449</f>
        <v>0.6666666667</v>
      </c>
    </row>
    <row r="1452">
      <c r="A1452" s="48">
        <v>7.0</v>
      </c>
      <c r="B1452" s="1">
        <v>0.0</v>
      </c>
      <c r="C1452" s="1">
        <v>372.0</v>
      </c>
      <c r="D1452" s="1">
        <v>2.0</v>
      </c>
      <c r="E1452" s="1">
        <v>79.0</v>
      </c>
      <c r="F1452" s="1">
        <v>19.0</v>
      </c>
      <c r="G1452" s="51">
        <f t="shared" si="523"/>
        <v>0.2664</v>
      </c>
      <c r="H1452" s="52">
        <f t="shared" si="524"/>
        <v>0.3078</v>
      </c>
      <c r="I1452" s="67">
        <f t="shared" si="525"/>
        <v>0.2871</v>
      </c>
      <c r="J1452" s="99" t="s">
        <v>27</v>
      </c>
    </row>
    <row r="1453">
      <c r="A1453" s="48">
        <v>8.0</v>
      </c>
      <c r="B1453" s="1">
        <v>1.0</v>
      </c>
      <c r="C1453" s="1">
        <v>191.0</v>
      </c>
      <c r="D1453" s="1">
        <v>5.0</v>
      </c>
      <c r="E1453" s="1">
        <v>452.0</v>
      </c>
      <c r="F1453" s="1">
        <v>21.0</v>
      </c>
      <c r="G1453" s="51">
        <f t="shared" si="523"/>
        <v>0.2682</v>
      </c>
      <c r="H1453" s="52">
        <f t="shared" si="524"/>
        <v>0.5204</v>
      </c>
      <c r="I1453" s="67">
        <f t="shared" si="525"/>
        <v>0.3943</v>
      </c>
      <c r="J1453" s="101">
        <f>J1449/J1447</f>
        <v>1.5</v>
      </c>
    </row>
    <row r="1454">
      <c r="A1454" s="48">
        <v>9.0</v>
      </c>
      <c r="G1454" s="51">
        <f t="shared" si="523"/>
        <v>0.306</v>
      </c>
      <c r="H1454" s="52">
        <f t="shared" si="524"/>
        <v>0.306</v>
      </c>
      <c r="I1454" s="67">
        <f t="shared" si="525"/>
        <v>0.306</v>
      </c>
      <c r="J1454" s="99"/>
    </row>
    <row r="1455">
      <c r="A1455" s="48">
        <v>10.0</v>
      </c>
      <c r="G1455" s="51">
        <f t="shared" si="523"/>
        <v>0.306</v>
      </c>
      <c r="H1455" s="52">
        <f t="shared" si="524"/>
        <v>0.306</v>
      </c>
      <c r="I1455" s="67">
        <f t="shared" si="525"/>
        <v>0.306</v>
      </c>
      <c r="J1455" s="46"/>
    </row>
    <row r="1456">
      <c r="A1456" s="43" t="s">
        <v>33</v>
      </c>
      <c r="B1456" s="92">
        <f>SUM(B1446:B1455)</f>
        <v>6</v>
      </c>
      <c r="C1456" s="93">
        <f>AVERAGE(C1446:C1455)</f>
        <v>222.125</v>
      </c>
      <c r="D1456" s="93">
        <f>SUM(D1446:D1455)</f>
        <v>9</v>
      </c>
      <c r="E1456" s="93">
        <f t="shared" ref="E1456:F1456" si="526">AVERAGE(E1446:E1455)</f>
        <v>139.75</v>
      </c>
      <c r="F1456" s="94">
        <f t="shared" si="526"/>
        <v>21.75</v>
      </c>
      <c r="G1456" s="95">
        <f t="shared" ref="G1456:H1456" si="527">Average(G1446:G1455)</f>
        <v>0.26714</v>
      </c>
      <c r="H1456" s="96">
        <f t="shared" si="527"/>
        <v>0.26896</v>
      </c>
      <c r="I1456" s="97">
        <f t="shared" si="525"/>
        <v>0.26805</v>
      </c>
      <c r="J1456" s="99"/>
    </row>
  </sheetData>
  <conditionalFormatting sqref="F1:F28 F30:F2002 R907:R909 O1137:O1139 G1250:G1259 G1264:G1273 G1278:G1287 G1292:G1301 G1306:G1315 G1320:G1329 G1334:G1344 G1348:G1358 G1362:G1372 G1376:G1386 G1390:G1400 G1404:G1414 G1418:G1428 G1432:G1442 G1446:G1456">
    <cfRule type="colorScale" priority="1">
      <colorScale>
        <cfvo type="min"/>
        <cfvo type="formula" val="10"/>
        <cfvo type="max"/>
        <color rgb="FF57BB8A"/>
        <color rgb="FFFFFFFF"/>
        <color rgb="FFE67C73"/>
      </colorScale>
    </cfRule>
  </conditionalFormatting>
  <conditionalFormatting sqref="E4:E13 E18:E27 E32:E41 E46:E55 E60:E69 E74:E83 E87:E97 E101:E111 E115:E125 E129:E139 E143:E153 E157:E167 E171:E181 E185:E195 E199:E209 E213:E223 E227:E237 E241:E251 E255:E265 E269:E279 E283:E293 E297:E307 E311:E321 E326:E335 E340:E349 E354:E363 E368:E377 E382:E391 E396:E405 E410:E419 E424:E433 E438:E447 E452:E461 E466:E475 E480:E489 E494:E503 E508:E517 E522:E531 E536:E545 E550:E559 E564:E573 E578:E587 E592:E601 E606:E615 E620:E629 E634:E643 E648:E657 E662:E671 E676:E685 E690:E699 E704:E713 E718:E727 E732:E741 E746:E755 E760:E769 E774:E783 E788:E797 E801:E811 E815:E825 E829:E839 E843:E853 E857:E867 E871:E881 E885:E895 E899:E909 Q907:Q909 E913:E923 E927:E937 E941:E951 E955:E965 E969:E979 E984:E993 E998:E1007 E1012:E1021 E1026:E1035 E1040:E1049 E1054:E1063 E1068:E1077 E1082:E1091 E1096:E1105 E1110:E1119 E1124:E1133 E1138:E1147 E1152:E1161 E1166:E1175 E1180:E1189 E1194:E1203 E1208:E1217 E1222:E1231 E1236:E1245 E1250:E1259 E1264:E1273 E1278:E1287 E1292:E1301 E1306:E1315 E1320:E1329 E1334:E1343 E1348:E1357 E1362:E1371 E1376:E1385 E1390:E1399 E1404:E1413 E1418:E1427 E1432:E1441 E1446:E1455">
    <cfRule type="colorScale" priority="2">
      <colorScale>
        <cfvo type="formula" val="0"/>
        <cfvo type="formula" val="1000"/>
        <color rgb="FFFFFFFF"/>
        <color rgb="FF57BB8A"/>
      </colorScale>
    </cfRule>
  </conditionalFormatting>
  <conditionalFormatting sqref="C4:C13 C18:C27 C32:C41 C46:C55 C60:C69 C74:C83 C87:C97 C101:C111 C115:C125 C129:C139 C143:C153 C157:C167 C171:C181 C185:C195 C199:C209 C213:C223 C227:C237 C241:C251 C255:C265 C269:C279 C283:C293 C297:C307 C312:C321 C326:C336 C340:C349 C354:C363 C368:C377 C382:C391 C396:C405 C410:C419 C424:C433 C438:C447 C452:C461 C466:C475 C480:C489 C494:C503 C508:C517 C522:C531 C536:C545 C550:C559 C564:C573 C578:C587 C592:C601 C606:C615 C620:C629 C634:C643 C648:C657 C662:C671 C676:C685 C690:C699 C704:C713 C718:C727 C732:C741 C746:C755 C760:C769 C774:C783 C788:C797 C801:C811 C815:C825 C829:C839 C843:C853 C857:C867 C871:C881 C885:C895 C899:C909 O907:O909 C913:C923 C927:C937 C941:C951 C955:C965 C969:C979 C984:C993 C998:C1007 C1012:C1021 C1026:C1035 C1040:C1049 C1054:C1063 C1068:C1077 C1082:C1091 C1096:C1105 C1110:C1119 C1124:C1133 C1138:C1147 C1152:C1161 C1166:C1175 C1180:C1189 C1194:C1203 C1208:C1217 C1222:C1231 C1236:C1245 C1250:C1259 C1264:C1273 C1278:C1287 C1292:C1301 C1306:C1315 C1320:C1329 C1334:C1343 C1348:C1357 C1362:C1371 C1376:C1385 C1390:C1399 C1404:C1413 C1418:C1427 C1432:C1441 C1446:C1455">
    <cfRule type="colorScale" priority="3">
      <colorScale>
        <cfvo type="formula" val="0"/>
        <cfvo type="formula" val="1000"/>
        <color rgb="FFFFFFFF"/>
        <color rgb="FF57BB8A"/>
      </colorScale>
    </cfRule>
  </conditionalFormatting>
  <conditionalFormatting sqref="B4:B13 B18:B27 B32:B41 B46:B55 B60:B69 B74:B83 B87:B97 B101:B111 B115:B125 B129:B139 B143:B153 B157:B167 B171:B181 B185:B195 B199:B209 B213:B223 B227:B237 B241:B251 B255:B265 B269:B279 B283:B293 B297:B307 B311:B321 B325:B335 B339:B349 B353:B363 B367:B377 B381:B391 B395:B405 B409:B419 B423:B433 B437:B447 B451:B461 B465:B475 B479:B489 B493:B503 B507:B517 B521:B531 B535:B545 B549:B559 B563:B573 B577:B587 B591:B601 B605:B615 B619:B629 B633:B643 B647:B657 B661:B671 B675:B685 B689:B699 B703:B713 B717:B727 B731:B741 B745:B755 B759:B769 B773:B783 B787:B797 B800:B811 B814:B825 B828:B839 B842:B853 B856:B867 B870:B881 B884:B895 B898:B909 B912:B923 B926:B937 B940:B951 B954:B965 B968:B979 B982:B993 B996:B1007 B1010:B1021 B1024:B1035 B1038:B1049 B1052:B1063 B1065:B1077 B1082:B1091 B1096:B1105 B1110:B1119 B1124:B1133 B1138:B1147 B1152:B1161 B1166:B1175 B1180:B1189 B1194:B1203 B1208:B1217 B1222:B1231 B1236:B1245 B1250:B1259 B1264:B1273 B1278:B1287 B1292:B1301 B1306:B1315 B1320:B1329 B1334:B1343 B1348:B1357 B1362:B1371 B1376:B1385 B1390:B1399 B1404:B1413 B1418:B1427 B1432:B1441 B1446:B1455">
    <cfRule type="colorScale" priority="4">
      <colorScale>
        <cfvo type="formula" val="0"/>
        <cfvo type="formula" val="10"/>
        <color rgb="FFFFFFFF"/>
        <color rgb="FFFFD666"/>
      </colorScale>
    </cfRule>
  </conditionalFormatting>
  <conditionalFormatting sqref="D4:D13 D18:D27 D32:D41 D46:D55 D60:D69 D74:D83 D87:D97 D101:D111 D115:D125 D129:D139 D143:D153 D157:D167 D171:D181 D185:D195 D199:D209 D213:D223 D227:D237 D241:D251 D255:D265 D269:D279 D283:D293 D297:D307 D311:D321 D326:D335 D340:D349 D354:D363 D368:D377 D382:D391 D396:D405 D410:D419 D424:D433 D438:D447 D452:D461 D466:D475 D480:D489 D494:D503 D508:D517 D522:D531 D536:D545 D550:D559 D564:D573 D578:D587 D592:D601 D606:D615 D620:D629 D634:D643 D648:D657 D662:D671 D676:D685 D690:D699 D704:D713 D718:D727 D732:D741 D746:D755 D760:D769 D774:D783 D788:D797 D801:D811 D815:D825 D829:D839 D843:D853 D857:D867 D871:D881 D885:D895 D899:D909 P907:P909 D913:D923 D927:D937 D941:D951 D955:D965 D969:D979 D984:D993 D998:D1007 D1012:D1021 D1026:D1035 D1040:D1049 D1054:D1063 D1068:D1077 D1082:D1091 D1096:D1105 D1110:D1119 D1124:D1133 D1138:D1147 D1152:D1161 D1166:D1175 D1180:D1189 D1194:D1203 D1208:D1217 D1222:D1231 D1236:D1245 D1250:D1259 D1264:D1273 D1278:D1287 D1292:D1301 D1306:D1315 D1320:D1329 D1334:D1343 D1348:D1357 D1362:D1371 D1376:D1385 D1390:D1399 D1404:D1413 D1418:D1427 D1432:D1441 D1446:D1455">
    <cfRule type="colorScale" priority="5">
      <colorScale>
        <cfvo type="min"/>
        <cfvo type="formula" val="10"/>
        <color rgb="FFFFFFFF"/>
        <color rgb="FFFFD666"/>
      </colorScale>
    </cfRule>
  </conditionalFormatting>
  <conditionalFormatting sqref="I1:I2002">
    <cfRule type="colorScale" priority="6">
      <colorScale>
        <cfvo type="formula" val="0"/>
        <cfvo type="formula" val="1"/>
        <color rgb="FFFFFFFF"/>
        <color rgb="FF8E7CC3"/>
      </colorScale>
    </cfRule>
  </conditionalFormatting>
  <conditionalFormatting sqref="G1:G2002 H14:I14 H28:I28 H42:I42 H56:I56 H70:I70 H84:I84 H98:I98 H112:I112 H126:I126 H140:I140 H154:I154 H168:I168 H182:I182 H196:I196 H210:I210 H224:I224 H238:I238 H252:I252 F254 H266:I266 F268 H280:I280 F282 H294:I294 F296 H308:I308 F310 H322:I322 H580:I588 H607:I607 H621:I621 H635:I635 H649:I649 H663:I663 H677:I677 H691:I691 H705:I705 H719:I719 H733:I733 H747:I747 H761:I761 H775:I775 H789:I789 H802:I803 H816:I817 H830:I831 H844:I845 H858:H867 I858:I859 H872:I873 H876:I876 H886:H895 I886:I887 I890 H900:I909 H914:I923 H928:I937 H942:I951 H956:I965 H970:I979 H984:I993 H998:I1007 H1012:I1021 H1026:I1035 H1040:I1049 H1054:I1063 H1068:I1077 H1082:I1091 H1096:I1105 H1110:I1119 H1124:I1133 H1138:I1147 H1152:I1161 H1166:I1175 H1180:I1189 H1194:I1203 H1208:I1217 H1222:I1231 H1236:I1246 H1250:I1260 H1264:I1274 H1278:I1288 H1292:I1302 H1306:I1316 H1320:I1330 H1334:I1344 H1348:I1358 H1362:I1372 H1376:I1386 H1390:I1400 H1404:I1414 H1418:I1428 H1432:I1442 H1446:I1456">
    <cfRule type="colorScale" priority="7">
      <colorScale>
        <cfvo type="formula" val="0"/>
        <cfvo type="formula" val="1"/>
        <color rgb="FFFFFFFF"/>
        <color rgb="FFFF9900"/>
      </colorScale>
    </cfRule>
  </conditionalFormatting>
  <conditionalFormatting sqref="H1:H2002 I1250:I1259 I1264:I1273 I1278:I1287 I1292:I1301 I1306:I1315 I1320:I1329 I1334:I1343 I1348:I1357 I1362:I1371 I1376:I1385 I1390:I1399 I1404:I1413 I1418:I1427 I1432:I1441 I1446:I1455">
    <cfRule type="colorScale" priority="8">
      <colorScale>
        <cfvo type="formula" val="0"/>
        <cfvo type="formula" val="1"/>
        <color rgb="FFFFFFFF"/>
        <color rgb="FFF9CB9C"/>
      </colorScale>
    </cfRule>
  </conditionalFormatting>
  <drawing r:id="rId1"/>
  <tableParts count="107"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